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6240" yWindow="-20400" windowWidth="25600" windowHeight="16060" tabRatio="953" activeTab="3"/>
  </bookViews>
  <sheets>
    <sheet name="Timeseries" sheetId="2" r:id="rId1"/>
    <sheet name="SES" sheetId="20" r:id="rId2"/>
    <sheet name="Holt'sTrend-Corrected" sheetId="21" r:id="rId3"/>
    <sheet name="Holt's Autocorrelation" sheetId="22" r:id="rId4"/>
  </sheets>
  <definedNames>
    <definedName name="solver_adj" localSheetId="2" hidden="1">'Holt''sTrend-Corrected'!$C$2:$D$2</definedName>
    <definedName name="solver_adj" localSheetId="1" hidden="1">SES!$C$2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3</definedName>
    <definedName name="solver_eng" localSheetId="1" hidden="1">3</definedName>
    <definedName name="solver_itr" localSheetId="2" hidden="1">2147483647</definedName>
    <definedName name="solver_itr" localSheetId="1" hidden="1">2147483647</definedName>
    <definedName name="solver_lhs1" localSheetId="2" hidden="1">'Holt''sTrend-Corrected'!$C$2:$D$2</definedName>
    <definedName name="solver_lhs1" localSheetId="1" hidden="1">SES!$C$2</definedName>
    <definedName name="solver_lin" localSheetId="2" hidden="1">2</definedName>
    <definedName name="solver_lin" localSheetId="1" hidden="1">2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1</definedName>
    <definedName name="solver_num" localSheetId="1" hidden="1">1</definedName>
    <definedName name="solver_opt" localSheetId="2" hidden="1">'Holt''sTrend-Corrected'!$G$2</definedName>
    <definedName name="solver_opt" localSheetId="1" hidden="1">SES!$F$2</definedName>
    <definedName name="solver_pre" localSheetId="2" hidden="1">0.000001</definedName>
    <definedName name="solver_pre" localSheetId="1" hidden="1">0.000001</definedName>
    <definedName name="solver_rbv" localSheetId="2" hidden="1">1</definedName>
    <definedName name="solver_rbv" localSheetId="1" hidden="1">1</definedName>
    <definedName name="solver_rel1" localSheetId="2" hidden="1">1</definedName>
    <definedName name="solver_rel1" localSheetId="1" hidden="1">1</definedName>
    <definedName name="solver_rhs1" localSheetId="2" hidden="1">1</definedName>
    <definedName name="solver_rhs1" localSheetId="1" hidden="1">1</definedName>
    <definedName name="solver_rlx" localSheetId="2" hidden="1">2</definedName>
    <definedName name="solver_rlx" localSheetId="1" hidden="1">2</definedName>
    <definedName name="solver_rsd" localSheetId="2" hidden="1">0</definedName>
    <definedName name="solver_rsd" localSheetId="1" hidden="1">0</definedName>
    <definedName name="solver_scl" localSheetId="2" hidden="1">1</definedName>
    <definedName name="solver_scl" localSheetId="1" hidden="1">1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2147483647</definedName>
    <definedName name="solver_tim" localSheetId="1" hidden="1">2147483647</definedName>
    <definedName name="solver_tol" localSheetId="2" hidden="1">0.01</definedName>
    <definedName name="solver_tol" localSheetId="1" hidden="1">0.01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2</definedName>
    <definedName name="solver_ver" localSheetId="1" hidden="1">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43" i="22" l="1"/>
  <c r="N43" i="22"/>
  <c r="M43" i="22"/>
  <c r="L43" i="22"/>
  <c r="K43" i="22"/>
  <c r="J43" i="22"/>
  <c r="I43" i="22"/>
  <c r="H43" i="22"/>
  <c r="G43" i="22"/>
  <c r="F43" i="22"/>
  <c r="E43" i="22"/>
  <c r="D43" i="22"/>
  <c r="E42" i="22"/>
  <c r="F42" i="22"/>
  <c r="G42" i="22"/>
  <c r="H42" i="22"/>
  <c r="I42" i="22"/>
  <c r="J42" i="22"/>
  <c r="K42" i="22"/>
  <c r="L42" i="22"/>
  <c r="M42" i="22"/>
  <c r="N42" i="22"/>
  <c r="O42" i="22"/>
  <c r="D42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E27" i="22"/>
  <c r="F28" i="22"/>
  <c r="G29" i="22"/>
  <c r="H30" i="22"/>
  <c r="I31" i="22"/>
  <c r="J32" i="22"/>
  <c r="K33" i="22"/>
  <c r="L34" i="22"/>
  <c r="M35" i="22"/>
  <c r="N36" i="22"/>
  <c r="O37" i="22"/>
  <c r="E28" i="22"/>
  <c r="F29" i="22"/>
  <c r="G30" i="22"/>
  <c r="H31" i="22"/>
  <c r="I32" i="22"/>
  <c r="J33" i="22"/>
  <c r="K34" i="22"/>
  <c r="L35" i="22"/>
  <c r="M36" i="22"/>
  <c r="N37" i="22"/>
  <c r="E29" i="22"/>
  <c r="F30" i="22"/>
  <c r="G31" i="22"/>
  <c r="H32" i="22"/>
  <c r="I33" i="22"/>
  <c r="J34" i="22"/>
  <c r="K35" i="22"/>
  <c r="L36" i="22"/>
  <c r="M37" i="22"/>
  <c r="E30" i="22"/>
  <c r="F31" i="22"/>
  <c r="G32" i="22"/>
  <c r="H33" i="22"/>
  <c r="I34" i="22"/>
  <c r="J35" i="22"/>
  <c r="K36" i="22"/>
  <c r="L37" i="22"/>
  <c r="E31" i="22"/>
  <c r="F32" i="22"/>
  <c r="G33" i="22"/>
  <c r="H34" i="22"/>
  <c r="I35" i="22"/>
  <c r="J36" i="22"/>
  <c r="K37" i="22"/>
  <c r="E32" i="22"/>
  <c r="F33" i="22"/>
  <c r="G34" i="22"/>
  <c r="H35" i="22"/>
  <c r="I36" i="22"/>
  <c r="J37" i="22"/>
  <c r="E33" i="22"/>
  <c r="F34" i="22"/>
  <c r="G35" i="22"/>
  <c r="H36" i="22"/>
  <c r="I37" i="22"/>
  <c r="E34" i="22"/>
  <c r="F35" i="22"/>
  <c r="G36" i="22"/>
  <c r="H37" i="22"/>
  <c r="E35" i="22"/>
  <c r="F36" i="22"/>
  <c r="G37" i="22"/>
  <c r="E36" i="22"/>
  <c r="F37" i="22"/>
  <c r="E37" i="22"/>
  <c r="E26" i="22"/>
  <c r="F27" i="22"/>
  <c r="G28" i="22"/>
  <c r="H29" i="22"/>
  <c r="I30" i="22"/>
  <c r="J31" i="22"/>
  <c r="K32" i="22"/>
  <c r="L33" i="22"/>
  <c r="M34" i="22"/>
  <c r="N35" i="22"/>
  <c r="O36" i="22"/>
  <c r="E25" i="22"/>
  <c r="F26" i="22"/>
  <c r="G27" i="22"/>
  <c r="H28" i="22"/>
  <c r="I29" i="22"/>
  <c r="J30" i="22"/>
  <c r="K31" i="22"/>
  <c r="L32" i="22"/>
  <c r="M33" i="22"/>
  <c r="N34" i="22"/>
  <c r="O35" i="22"/>
  <c r="E24" i="22"/>
  <c r="F25" i="22"/>
  <c r="G26" i="22"/>
  <c r="H27" i="22"/>
  <c r="I28" i="22"/>
  <c r="J29" i="22"/>
  <c r="K30" i="22"/>
  <c r="L31" i="22"/>
  <c r="M32" i="22"/>
  <c r="N33" i="22"/>
  <c r="O34" i="22"/>
  <c r="E23" i="22"/>
  <c r="F24" i="22"/>
  <c r="G25" i="22"/>
  <c r="H26" i="22"/>
  <c r="I27" i="22"/>
  <c r="J28" i="22"/>
  <c r="K29" i="22"/>
  <c r="L30" i="22"/>
  <c r="M31" i="22"/>
  <c r="N32" i="22"/>
  <c r="O33" i="22"/>
  <c r="E22" i="22"/>
  <c r="F23" i="22"/>
  <c r="G24" i="22"/>
  <c r="H25" i="22"/>
  <c r="I26" i="22"/>
  <c r="J27" i="22"/>
  <c r="K28" i="22"/>
  <c r="L29" i="22"/>
  <c r="M30" i="22"/>
  <c r="N31" i="22"/>
  <c r="O32" i="22"/>
  <c r="E21" i="22"/>
  <c r="F22" i="22"/>
  <c r="G23" i="22"/>
  <c r="H24" i="22"/>
  <c r="I25" i="22"/>
  <c r="J26" i="22"/>
  <c r="K27" i="22"/>
  <c r="L28" i="22"/>
  <c r="M29" i="22"/>
  <c r="N30" i="22"/>
  <c r="O31" i="22"/>
  <c r="E20" i="22"/>
  <c r="F21" i="22"/>
  <c r="G22" i="22"/>
  <c r="H23" i="22"/>
  <c r="I24" i="22"/>
  <c r="J25" i="22"/>
  <c r="K26" i="22"/>
  <c r="L27" i="22"/>
  <c r="M28" i="22"/>
  <c r="N29" i="22"/>
  <c r="O30" i="22"/>
  <c r="E19" i="22"/>
  <c r="F20" i="22"/>
  <c r="G21" i="22"/>
  <c r="H22" i="22"/>
  <c r="I23" i="22"/>
  <c r="J24" i="22"/>
  <c r="K25" i="22"/>
  <c r="L26" i="22"/>
  <c r="M27" i="22"/>
  <c r="N28" i="22"/>
  <c r="O29" i="22"/>
  <c r="E18" i="22"/>
  <c r="F19" i="22"/>
  <c r="G20" i="22"/>
  <c r="H21" i="22"/>
  <c r="I22" i="22"/>
  <c r="J23" i="22"/>
  <c r="K24" i="22"/>
  <c r="L25" i="22"/>
  <c r="M26" i="22"/>
  <c r="N27" i="22"/>
  <c r="O28" i="22"/>
  <c r="E17" i="22"/>
  <c r="F18" i="22"/>
  <c r="G19" i="22"/>
  <c r="H20" i="22"/>
  <c r="I21" i="22"/>
  <c r="J22" i="22"/>
  <c r="K23" i="22"/>
  <c r="L24" i="22"/>
  <c r="M25" i="22"/>
  <c r="N26" i="22"/>
  <c r="O27" i="22"/>
  <c r="E16" i="22"/>
  <c r="F17" i="22"/>
  <c r="G18" i="22"/>
  <c r="H19" i="22"/>
  <c r="I20" i="22"/>
  <c r="J21" i="22"/>
  <c r="K22" i="22"/>
  <c r="L23" i="22"/>
  <c r="M24" i="22"/>
  <c r="N25" i="22"/>
  <c r="O26" i="22"/>
  <c r="E15" i="22"/>
  <c r="F16" i="22"/>
  <c r="G17" i="22"/>
  <c r="H18" i="22"/>
  <c r="I19" i="22"/>
  <c r="J20" i="22"/>
  <c r="K21" i="22"/>
  <c r="L22" i="22"/>
  <c r="M23" i="22"/>
  <c r="N24" i="22"/>
  <c r="O25" i="22"/>
  <c r="E14" i="22"/>
  <c r="F15" i="22"/>
  <c r="G16" i="22"/>
  <c r="H17" i="22"/>
  <c r="I18" i="22"/>
  <c r="J19" i="22"/>
  <c r="K20" i="22"/>
  <c r="L21" i="22"/>
  <c r="M22" i="22"/>
  <c r="N23" i="22"/>
  <c r="O24" i="22"/>
  <c r="E13" i="22"/>
  <c r="F14" i="22"/>
  <c r="G15" i="22"/>
  <c r="H16" i="22"/>
  <c r="I17" i="22"/>
  <c r="J18" i="22"/>
  <c r="K19" i="22"/>
  <c r="L20" i="22"/>
  <c r="M21" i="22"/>
  <c r="N22" i="22"/>
  <c r="O23" i="22"/>
  <c r="E12" i="22"/>
  <c r="F13" i="22"/>
  <c r="G14" i="22"/>
  <c r="H15" i="22"/>
  <c r="I16" i="22"/>
  <c r="J17" i="22"/>
  <c r="K18" i="22"/>
  <c r="L19" i="22"/>
  <c r="M20" i="22"/>
  <c r="N21" i="22"/>
  <c r="O22" i="22"/>
  <c r="E11" i="22"/>
  <c r="F12" i="22"/>
  <c r="G13" i="22"/>
  <c r="H14" i="22"/>
  <c r="I15" i="22"/>
  <c r="J16" i="22"/>
  <c r="K17" i="22"/>
  <c r="L18" i="22"/>
  <c r="M19" i="22"/>
  <c r="N20" i="22"/>
  <c r="O21" i="22"/>
  <c r="E10" i="22"/>
  <c r="F11" i="22"/>
  <c r="G12" i="22"/>
  <c r="H13" i="22"/>
  <c r="I14" i="22"/>
  <c r="J15" i="22"/>
  <c r="K16" i="22"/>
  <c r="L17" i="22"/>
  <c r="M18" i="22"/>
  <c r="N19" i="22"/>
  <c r="O20" i="22"/>
  <c r="E9" i="22"/>
  <c r="F10" i="22"/>
  <c r="G11" i="22"/>
  <c r="H12" i="22"/>
  <c r="I13" i="22"/>
  <c r="J14" i="22"/>
  <c r="K15" i="22"/>
  <c r="L16" i="22"/>
  <c r="M17" i="22"/>
  <c r="N18" i="22"/>
  <c r="O19" i="22"/>
  <c r="E8" i="22"/>
  <c r="F9" i="22"/>
  <c r="G10" i="22"/>
  <c r="H11" i="22"/>
  <c r="I12" i="22"/>
  <c r="J13" i="22"/>
  <c r="K14" i="22"/>
  <c r="L15" i="22"/>
  <c r="M16" i="22"/>
  <c r="N17" i="22"/>
  <c r="O18" i="22"/>
  <c r="E7" i="22"/>
  <c r="F8" i="22"/>
  <c r="G9" i="22"/>
  <c r="H10" i="22"/>
  <c r="I11" i="22"/>
  <c r="J12" i="22"/>
  <c r="K13" i="22"/>
  <c r="L14" i="22"/>
  <c r="M15" i="22"/>
  <c r="N16" i="22"/>
  <c r="O17" i="22"/>
  <c r="E6" i="22"/>
  <c r="F7" i="22"/>
  <c r="G8" i="22"/>
  <c r="H9" i="22"/>
  <c r="I10" i="22"/>
  <c r="J11" i="22"/>
  <c r="K12" i="22"/>
  <c r="L13" i="22"/>
  <c r="M14" i="22"/>
  <c r="N15" i="22"/>
  <c r="O16" i="22"/>
  <c r="E5" i="22"/>
  <c r="F6" i="22"/>
  <c r="G7" i="22"/>
  <c r="H8" i="22"/>
  <c r="I9" i="22"/>
  <c r="J10" i="22"/>
  <c r="K11" i="22"/>
  <c r="L12" i="22"/>
  <c r="M13" i="22"/>
  <c r="N14" i="22"/>
  <c r="O15" i="22"/>
  <c r="E4" i="22"/>
  <c r="F5" i="22"/>
  <c r="G6" i="22"/>
  <c r="H7" i="22"/>
  <c r="I8" i="22"/>
  <c r="J9" i="22"/>
  <c r="K10" i="22"/>
  <c r="L11" i="22"/>
  <c r="M12" i="22"/>
  <c r="N13" i="22"/>
  <c r="O14" i="22"/>
  <c r="E3" i="22"/>
  <c r="F4" i="22"/>
  <c r="G5" i="22"/>
  <c r="H6" i="22"/>
  <c r="I7" i="22"/>
  <c r="J8" i="22"/>
  <c r="K9" i="22"/>
  <c r="L10" i="22"/>
  <c r="M11" i="22"/>
  <c r="N12" i="22"/>
  <c r="O13" i="22"/>
  <c r="F3" i="22"/>
  <c r="G4" i="22"/>
  <c r="H5" i="22"/>
  <c r="I6" i="22"/>
  <c r="J7" i="22"/>
  <c r="K8" i="22"/>
  <c r="L9" i="22"/>
  <c r="M10" i="22"/>
  <c r="N11" i="22"/>
  <c r="O12" i="22"/>
  <c r="G3" i="22"/>
  <c r="H4" i="22"/>
  <c r="I5" i="22"/>
  <c r="J6" i="22"/>
  <c r="K7" i="22"/>
  <c r="L8" i="22"/>
  <c r="M9" i="22"/>
  <c r="N10" i="22"/>
  <c r="O11" i="22"/>
  <c r="H3" i="22"/>
  <c r="I4" i="22"/>
  <c r="J5" i="22"/>
  <c r="K6" i="22"/>
  <c r="L7" i="22"/>
  <c r="M8" i="22"/>
  <c r="N9" i="22"/>
  <c r="O10" i="22"/>
  <c r="I3" i="22"/>
  <c r="J4" i="22"/>
  <c r="K5" i="22"/>
  <c r="L6" i="22"/>
  <c r="M7" i="22"/>
  <c r="N8" i="22"/>
  <c r="O9" i="22"/>
  <c r="J3" i="22"/>
  <c r="K4" i="22"/>
  <c r="L5" i="22"/>
  <c r="M6" i="22"/>
  <c r="N7" i="22"/>
  <c r="O8" i="22"/>
  <c r="K3" i="22"/>
  <c r="L4" i="22"/>
  <c r="M5" i="22"/>
  <c r="N6" i="22"/>
  <c r="O7" i="22"/>
  <c r="L3" i="22"/>
  <c r="M4" i="22"/>
  <c r="N5" i="22"/>
  <c r="O6" i="22"/>
  <c r="M3" i="22"/>
  <c r="N4" i="22"/>
  <c r="O5" i="22"/>
  <c r="N3" i="22"/>
  <c r="O4" i="22"/>
  <c r="O3" i="22"/>
  <c r="D38" i="22"/>
  <c r="E38" i="22"/>
  <c r="F38" i="22"/>
  <c r="G38" i="22"/>
  <c r="H38" i="22"/>
  <c r="I38" i="22"/>
  <c r="J38" i="22"/>
  <c r="K38" i="22"/>
  <c r="L38" i="22"/>
  <c r="M38" i="22"/>
  <c r="N38" i="22"/>
  <c r="O38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" i="22"/>
  <c r="C38" i="22"/>
  <c r="C3" i="22"/>
  <c r="C4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C31" i="22"/>
  <c r="C32" i="22"/>
  <c r="C33" i="22"/>
  <c r="C34" i="22"/>
  <c r="C35" i="22"/>
  <c r="C36" i="22"/>
  <c r="C37" i="22"/>
  <c r="C2" i="22"/>
  <c r="B38" i="22"/>
  <c r="C6" i="21"/>
  <c r="D6" i="21"/>
  <c r="E7" i="21"/>
  <c r="F7" i="21"/>
  <c r="G7" i="21"/>
  <c r="C7" i="21"/>
  <c r="D7" i="21"/>
  <c r="E8" i="21"/>
  <c r="F8" i="21"/>
  <c r="G8" i="21"/>
  <c r="C8" i="21"/>
  <c r="D8" i="21"/>
  <c r="E9" i="21"/>
  <c r="F9" i="21"/>
  <c r="G9" i="21"/>
  <c r="C9" i="21"/>
  <c r="D9" i="21"/>
  <c r="E10" i="21"/>
  <c r="F10" i="21"/>
  <c r="G10" i="21"/>
  <c r="C10" i="21"/>
  <c r="D10" i="21"/>
  <c r="E11" i="21"/>
  <c r="F11" i="21"/>
  <c r="G11" i="21"/>
  <c r="C11" i="21"/>
  <c r="D11" i="21"/>
  <c r="E12" i="21"/>
  <c r="F12" i="21"/>
  <c r="G12" i="21"/>
  <c r="C12" i="21"/>
  <c r="D12" i="21"/>
  <c r="E13" i="21"/>
  <c r="F13" i="21"/>
  <c r="G13" i="21"/>
  <c r="C13" i="21"/>
  <c r="D13" i="21"/>
  <c r="E14" i="21"/>
  <c r="F14" i="21"/>
  <c r="G14" i="21"/>
  <c r="C14" i="21"/>
  <c r="D14" i="21"/>
  <c r="E15" i="21"/>
  <c r="F15" i="21"/>
  <c r="G15" i="21"/>
  <c r="C15" i="21"/>
  <c r="D15" i="21"/>
  <c r="E16" i="21"/>
  <c r="F16" i="21"/>
  <c r="G16" i="21"/>
  <c r="C16" i="21"/>
  <c r="D16" i="21"/>
  <c r="E17" i="21"/>
  <c r="F17" i="21"/>
  <c r="G17" i="21"/>
  <c r="C17" i="21"/>
  <c r="D17" i="21"/>
  <c r="E18" i="21"/>
  <c r="F18" i="21"/>
  <c r="G18" i="21"/>
  <c r="C18" i="21"/>
  <c r="D18" i="21"/>
  <c r="E19" i="21"/>
  <c r="F19" i="21"/>
  <c r="G19" i="21"/>
  <c r="C19" i="21"/>
  <c r="D19" i="21"/>
  <c r="E20" i="21"/>
  <c r="F20" i="21"/>
  <c r="G20" i="21"/>
  <c r="C20" i="21"/>
  <c r="D20" i="21"/>
  <c r="E21" i="21"/>
  <c r="F21" i="21"/>
  <c r="G21" i="21"/>
  <c r="C21" i="21"/>
  <c r="D21" i="21"/>
  <c r="E22" i="21"/>
  <c r="F22" i="21"/>
  <c r="G22" i="21"/>
  <c r="C22" i="21"/>
  <c r="D22" i="21"/>
  <c r="E23" i="21"/>
  <c r="F23" i="21"/>
  <c r="G23" i="21"/>
  <c r="C23" i="21"/>
  <c r="D23" i="21"/>
  <c r="E24" i="21"/>
  <c r="F24" i="21"/>
  <c r="G24" i="21"/>
  <c r="C24" i="21"/>
  <c r="D24" i="21"/>
  <c r="E25" i="21"/>
  <c r="F25" i="21"/>
  <c r="G25" i="21"/>
  <c r="C25" i="21"/>
  <c r="D25" i="21"/>
  <c r="E26" i="21"/>
  <c r="F26" i="21"/>
  <c r="G26" i="21"/>
  <c r="C26" i="21"/>
  <c r="D26" i="21"/>
  <c r="E27" i="21"/>
  <c r="F27" i="21"/>
  <c r="G27" i="21"/>
  <c r="C27" i="21"/>
  <c r="D27" i="21"/>
  <c r="E28" i="21"/>
  <c r="F28" i="21"/>
  <c r="G28" i="21"/>
  <c r="C28" i="21"/>
  <c r="D28" i="21"/>
  <c r="E29" i="21"/>
  <c r="F29" i="21"/>
  <c r="G29" i="21"/>
  <c r="C29" i="21"/>
  <c r="D29" i="21"/>
  <c r="E30" i="21"/>
  <c r="F30" i="21"/>
  <c r="G30" i="21"/>
  <c r="C30" i="21"/>
  <c r="D30" i="21"/>
  <c r="E31" i="21"/>
  <c r="F31" i="21"/>
  <c r="G31" i="21"/>
  <c r="C31" i="21"/>
  <c r="D31" i="21"/>
  <c r="E32" i="21"/>
  <c r="F32" i="21"/>
  <c r="G32" i="21"/>
  <c r="C32" i="21"/>
  <c r="D32" i="21"/>
  <c r="E33" i="21"/>
  <c r="F33" i="21"/>
  <c r="G33" i="21"/>
  <c r="C33" i="21"/>
  <c r="D33" i="21"/>
  <c r="E34" i="21"/>
  <c r="F34" i="21"/>
  <c r="G34" i="21"/>
  <c r="C34" i="21"/>
  <c r="D34" i="21"/>
  <c r="E35" i="21"/>
  <c r="F35" i="21"/>
  <c r="G35" i="21"/>
  <c r="C35" i="21"/>
  <c r="D35" i="21"/>
  <c r="E36" i="21"/>
  <c r="F36" i="21"/>
  <c r="G36" i="21"/>
  <c r="C36" i="21"/>
  <c r="D36" i="21"/>
  <c r="E37" i="21"/>
  <c r="F37" i="21"/>
  <c r="G37" i="21"/>
  <c r="C37" i="21"/>
  <c r="D37" i="21"/>
  <c r="E38" i="21"/>
  <c r="F38" i="21"/>
  <c r="G38" i="21"/>
  <c r="C38" i="21"/>
  <c r="D38" i="21"/>
  <c r="E39" i="21"/>
  <c r="F39" i="21"/>
  <c r="G39" i="21"/>
  <c r="C39" i="21"/>
  <c r="D39" i="21"/>
  <c r="E40" i="21"/>
  <c r="F40" i="21"/>
  <c r="G40" i="21"/>
  <c r="C40" i="21"/>
  <c r="D40" i="21"/>
  <c r="E41" i="21"/>
  <c r="F41" i="21"/>
  <c r="G41" i="21"/>
  <c r="F2" i="21"/>
  <c r="G2" i="21"/>
  <c r="C41" i="21"/>
  <c r="D41" i="21"/>
  <c r="B53" i="21"/>
  <c r="B52" i="21"/>
  <c r="B51" i="21"/>
  <c r="B50" i="21"/>
  <c r="G6" i="21"/>
  <c r="B43" i="21"/>
  <c r="B44" i="21"/>
  <c r="B45" i="21"/>
  <c r="B46" i="21"/>
  <c r="B47" i="21"/>
  <c r="B48" i="21"/>
  <c r="B49" i="21"/>
  <c r="B42" i="21"/>
  <c r="F6" i="21"/>
  <c r="E6" i="21"/>
  <c r="C6" i="20"/>
  <c r="D7" i="20"/>
  <c r="E7" i="20"/>
  <c r="F7" i="20"/>
  <c r="C7" i="20"/>
  <c r="D8" i="20"/>
  <c r="E8" i="20"/>
  <c r="F8" i="20"/>
  <c r="C8" i="20"/>
  <c r="D9" i="20"/>
  <c r="E9" i="20"/>
  <c r="F9" i="20"/>
  <c r="C9" i="20"/>
  <c r="D10" i="20"/>
  <c r="E10" i="20"/>
  <c r="F10" i="20"/>
  <c r="C10" i="20"/>
  <c r="D11" i="20"/>
  <c r="E11" i="20"/>
  <c r="F11" i="20"/>
  <c r="C11" i="20"/>
  <c r="D12" i="20"/>
  <c r="E12" i="20"/>
  <c r="F12" i="20"/>
  <c r="C12" i="20"/>
  <c r="D13" i="20"/>
  <c r="E13" i="20"/>
  <c r="F13" i="20"/>
  <c r="C13" i="20"/>
  <c r="D14" i="20"/>
  <c r="E14" i="20"/>
  <c r="F14" i="20"/>
  <c r="C14" i="20"/>
  <c r="D15" i="20"/>
  <c r="E15" i="20"/>
  <c r="F15" i="20"/>
  <c r="C15" i="20"/>
  <c r="D16" i="20"/>
  <c r="E16" i="20"/>
  <c r="F16" i="20"/>
  <c r="C16" i="20"/>
  <c r="D17" i="20"/>
  <c r="E17" i="20"/>
  <c r="F17" i="20"/>
  <c r="C17" i="20"/>
  <c r="D18" i="20"/>
  <c r="E18" i="20"/>
  <c r="F18" i="20"/>
  <c r="C18" i="20"/>
  <c r="D19" i="20"/>
  <c r="E19" i="20"/>
  <c r="F19" i="20"/>
  <c r="C19" i="20"/>
  <c r="D20" i="20"/>
  <c r="E20" i="20"/>
  <c r="F20" i="20"/>
  <c r="C20" i="20"/>
  <c r="D21" i="20"/>
  <c r="E21" i="20"/>
  <c r="F21" i="20"/>
  <c r="C21" i="20"/>
  <c r="D22" i="20"/>
  <c r="E22" i="20"/>
  <c r="F22" i="20"/>
  <c r="C22" i="20"/>
  <c r="D23" i="20"/>
  <c r="E23" i="20"/>
  <c r="F23" i="20"/>
  <c r="C23" i="20"/>
  <c r="D24" i="20"/>
  <c r="E24" i="20"/>
  <c r="F24" i="20"/>
  <c r="C24" i="20"/>
  <c r="D25" i="20"/>
  <c r="E25" i="20"/>
  <c r="F25" i="20"/>
  <c r="C25" i="20"/>
  <c r="D26" i="20"/>
  <c r="E26" i="20"/>
  <c r="F26" i="20"/>
  <c r="C26" i="20"/>
  <c r="D27" i="20"/>
  <c r="E27" i="20"/>
  <c r="F27" i="20"/>
  <c r="C27" i="20"/>
  <c r="D28" i="20"/>
  <c r="E28" i="20"/>
  <c r="F28" i="20"/>
  <c r="C28" i="20"/>
  <c r="D29" i="20"/>
  <c r="E29" i="20"/>
  <c r="F29" i="20"/>
  <c r="C29" i="20"/>
  <c r="D30" i="20"/>
  <c r="E30" i="20"/>
  <c r="F30" i="20"/>
  <c r="C30" i="20"/>
  <c r="D31" i="20"/>
  <c r="E31" i="20"/>
  <c r="F31" i="20"/>
  <c r="C31" i="20"/>
  <c r="D32" i="20"/>
  <c r="E32" i="20"/>
  <c r="F32" i="20"/>
  <c r="C32" i="20"/>
  <c r="D33" i="20"/>
  <c r="E33" i="20"/>
  <c r="F33" i="20"/>
  <c r="C33" i="20"/>
  <c r="D34" i="20"/>
  <c r="E34" i="20"/>
  <c r="F34" i="20"/>
  <c r="C34" i="20"/>
  <c r="D35" i="20"/>
  <c r="E35" i="20"/>
  <c r="F35" i="20"/>
  <c r="C35" i="20"/>
  <c r="D36" i="20"/>
  <c r="E36" i="20"/>
  <c r="F36" i="20"/>
  <c r="C36" i="20"/>
  <c r="D37" i="20"/>
  <c r="E37" i="20"/>
  <c r="F37" i="20"/>
  <c r="C37" i="20"/>
  <c r="D38" i="20"/>
  <c r="E38" i="20"/>
  <c r="F38" i="20"/>
  <c r="C38" i="20"/>
  <c r="D39" i="20"/>
  <c r="E39" i="20"/>
  <c r="F39" i="20"/>
  <c r="C39" i="20"/>
  <c r="D40" i="20"/>
  <c r="E40" i="20"/>
  <c r="F40" i="20"/>
  <c r="C40" i="20"/>
  <c r="D41" i="20"/>
  <c r="E41" i="20"/>
  <c r="F41" i="20"/>
  <c r="E2" i="20"/>
  <c r="F2" i="20"/>
  <c r="F6" i="20"/>
  <c r="C41" i="20"/>
  <c r="B53" i="20"/>
  <c r="B52" i="20"/>
  <c r="B51" i="20"/>
  <c r="B50" i="20"/>
  <c r="B49" i="20"/>
  <c r="B48" i="20"/>
  <c r="B47" i="20"/>
  <c r="B46" i="20"/>
  <c r="B45" i="20"/>
  <c r="B44" i="20"/>
  <c r="B43" i="20"/>
  <c r="B42" i="20"/>
  <c r="E6" i="20"/>
  <c r="D6" i="20"/>
  <c r="C5" i="20"/>
  <c r="B41" i="2"/>
  <c r="B40" i="2"/>
  <c r="B39" i="2"/>
  <c r="B42" i="2"/>
</calcChain>
</file>

<file path=xl/sharedStrings.xml><?xml version="1.0" encoding="utf-8"?>
<sst xmlns="http://schemas.openxmlformats.org/spreadsheetml/2006/main" count="47" uniqueCount="37">
  <si>
    <t>Demand</t>
  </si>
  <si>
    <t>t</t>
  </si>
  <si>
    <t>Total Months</t>
  </si>
  <si>
    <t>Level Estimate</t>
  </si>
  <si>
    <t>Forecast Error</t>
  </si>
  <si>
    <t>Squared Error</t>
  </si>
  <si>
    <t>SSE</t>
  </si>
  <si>
    <t>Standard Error</t>
  </si>
  <si>
    <t>Slope</t>
  </si>
  <si>
    <t>Degrees of Freedom</t>
  </si>
  <si>
    <t>t Test p value</t>
  </si>
  <si>
    <t>Slope Standard Error</t>
  </si>
  <si>
    <t>Level smoothing parameter (Alpha)</t>
  </si>
  <si>
    <t>One Step</t>
  </si>
  <si>
    <t>1. By comparing the SES as a flat line against the upward trend, you would notice that the trend its on the rise. How do you prove it?</t>
  </si>
  <si>
    <t xml:space="preserve">2. Prove it by fitting a linear regression to the demand data and performing a t test on the slope of that trendline. </t>
  </si>
  <si>
    <t>3. Use the LINEST function to fit a linear regression, pull the slope, standard error of the slope coefficient, and degrees of freedom. Then you can calculate your t statistic and run it through the TDIST function</t>
  </si>
  <si>
    <r>
      <t xml:space="preserve">4a. Slope of </t>
    </r>
    <r>
      <rPr>
        <i/>
        <sz val="12"/>
        <color rgb="FFFF0000"/>
        <rFont val="Calibri"/>
        <scheme val="minor"/>
      </rPr>
      <t>regression coefficient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1, 1</t>
    </r>
    <r>
      <rPr>
        <sz val="12"/>
        <color theme="1"/>
        <rFont val="Calibri"/>
        <family val="2"/>
        <scheme val="minor"/>
      </rPr>
      <t>)</t>
    </r>
  </si>
  <si>
    <r>
      <t xml:space="preserve">4b. </t>
    </r>
    <r>
      <rPr>
        <i/>
        <sz val="12"/>
        <color rgb="FFFF0000"/>
        <rFont val="Calibri"/>
        <scheme val="minor"/>
      </rPr>
      <t>Standard error</t>
    </r>
    <r>
      <rPr>
        <sz val="12"/>
        <color theme="1"/>
        <rFont val="Calibri"/>
        <family val="2"/>
        <scheme val="minor"/>
      </rPr>
      <t xml:space="preserve"> for the slope in 4a - INDEX(LINEST(B2:B37, A2:A37, TRUE, TRUE), </t>
    </r>
    <r>
      <rPr>
        <b/>
        <sz val="12"/>
        <color rgb="FFFF0000"/>
        <rFont val="Calibri"/>
        <scheme val="minor"/>
      </rPr>
      <t>2, 1</t>
    </r>
    <r>
      <rPr>
        <sz val="12"/>
        <color theme="1"/>
        <rFont val="Calibri"/>
        <family val="2"/>
        <scheme val="minor"/>
      </rPr>
      <t>)</t>
    </r>
  </si>
  <si>
    <r>
      <t xml:space="preserve">4c. </t>
    </r>
    <r>
      <rPr>
        <i/>
        <sz val="12"/>
        <color rgb="FFFF0000"/>
        <rFont val="Calibri"/>
        <scheme val="minor"/>
      </rPr>
      <t>Degree of freedom</t>
    </r>
    <r>
      <rPr>
        <sz val="12"/>
        <color theme="1"/>
        <rFont val="Calibri"/>
        <family val="2"/>
        <scheme val="minor"/>
      </rPr>
      <t xml:space="preserve"> - INDEX(LINEST(B2:B37, A2:A37, TRUE, TRUE), </t>
    </r>
    <r>
      <rPr>
        <b/>
        <sz val="12"/>
        <color rgb="FFFF0000"/>
        <rFont val="Calibri"/>
        <scheme val="minor"/>
      </rPr>
      <t>4, 2</t>
    </r>
    <r>
      <rPr>
        <sz val="12"/>
        <color theme="1"/>
        <rFont val="Calibri"/>
        <family val="2"/>
        <scheme val="minor"/>
      </rPr>
      <t xml:space="preserve">), also the same as taking 36 data points minus 2 coeefficients from the linear regression. </t>
    </r>
  </si>
  <si>
    <t>5. Finally, using the values from 4a, 4b and 4c, use the TDIST function to calculate the t distribution - TDIST(ABS(B39/40), B41, 2)</t>
  </si>
  <si>
    <t xml:space="preserve">6. The value return ( p value) if is near 0 implying that if the trend were nonexistent in reality (slope of 0), there's no chance we would have gotten a slope so extreme from our regression. </t>
  </si>
  <si>
    <t xml:space="preserve">7. Hence, the trend is statistically significant and can be utilized. </t>
  </si>
  <si>
    <t>Trend Estimate</t>
  </si>
  <si>
    <t>Alpha</t>
  </si>
  <si>
    <t>Gamma</t>
  </si>
  <si>
    <t>Actual Demand</t>
  </si>
  <si>
    <t>One-Step Ahead Forecast</t>
  </si>
  <si>
    <t>One-Step Error</t>
  </si>
  <si>
    <t>Deviations from mean</t>
  </si>
  <si>
    <t>1. Only care about autocorrelations larger than 2/sqrt(no of data points) i.e. 2/sqrt(36) = 0.333. Need to handle both +ve and -ve 0.333</t>
  </si>
  <si>
    <t>Autocorrelation</t>
  </si>
  <si>
    <t>Critical upside</t>
  </si>
  <si>
    <t>Critical downside</t>
  </si>
  <si>
    <t>2. From  graph below, only one autocorrelation that's above the critical value, i.e. month 12</t>
  </si>
  <si>
    <r>
      <t xml:space="preserve">3. </t>
    </r>
    <r>
      <rPr>
        <b/>
        <i/>
        <sz val="12"/>
        <color rgb="FFFF0000"/>
        <rFont val="Calibri"/>
        <scheme val="minor"/>
      </rPr>
      <t>The error shifted by a year is correlated with itself. That indicates a 12-month seasonal cycle.</t>
    </r>
    <r>
      <rPr>
        <sz val="12"/>
        <color theme="1"/>
        <rFont val="Calibri"/>
        <family val="2"/>
        <scheme val="minor"/>
      </rPr>
      <t xml:space="preserve"> Not surprising as these are spikes each Christmas and dips around April/May. </t>
    </r>
  </si>
  <si>
    <t xml:space="preserve">4. Therefore, its required to have a forecasting technique that can account for seasonality -&gt; Multiplicative Holt-Winters Exponential Smoothing.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</si>
</sst>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E+00;\_x0000_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rgb="FFFF0000"/>
      <name val="Calibri"/>
      <scheme val="minor"/>
    </font>
    <font>
      <b/>
      <sz val="12"/>
      <color rgb="FFFF0000"/>
      <name val="Calibri"/>
      <scheme val="minor"/>
    </font>
    <font>
      <b/>
      <i/>
      <sz val="12"/>
      <color rgb="FFFF000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</borders>
  <cellStyleXfs count="440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0" fontId="0" fillId="0" borderId="0" xfId="0" applyBorder="1"/>
    <xf numFmtId="0" fontId="3" fillId="0" borderId="3" xfId="0" applyFont="1" applyBorder="1"/>
    <xf numFmtId="0" fontId="3" fillId="0" borderId="4" xfId="0" applyFont="1" applyBorder="1"/>
    <xf numFmtId="2" fontId="0" fillId="0" borderId="0" xfId="0" applyNumberFormat="1" applyBorder="1"/>
    <xf numFmtId="164" fontId="0" fillId="0" borderId="0" xfId="0" applyNumberFormat="1" applyBorder="1"/>
    <xf numFmtId="0" fontId="0" fillId="0" borderId="5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3" fillId="0" borderId="0" xfId="0" applyFont="1" applyBorder="1"/>
    <xf numFmtId="0" fontId="0" fillId="0" borderId="0" xfId="0" applyBorder="1" applyAlignment="1">
      <alignment vertical="center"/>
    </xf>
    <xf numFmtId="0" fontId="3" fillId="0" borderId="0" xfId="0" applyFont="1"/>
    <xf numFmtId="0" fontId="0" fillId="2" borderId="0" xfId="0" applyFont="1" applyFill="1" applyBorder="1"/>
    <xf numFmtId="0" fontId="3" fillId="2" borderId="0" xfId="0" applyFont="1" applyFill="1" applyBorder="1"/>
    <xf numFmtId="0" fontId="0" fillId="2" borderId="0" xfId="0" applyFill="1"/>
    <xf numFmtId="1" fontId="0" fillId="0" borderId="0" xfId="0" applyNumberFormat="1"/>
    <xf numFmtId="0" fontId="4" fillId="0" borderId="0" xfId="0" applyFont="1"/>
    <xf numFmtId="0" fontId="3" fillId="0" borderId="0" xfId="0" applyFont="1" applyBorder="1" applyAlignment="1">
      <alignment wrapText="1"/>
    </xf>
    <xf numFmtId="0" fontId="0" fillId="0" borderId="0" xfId="0" applyFill="1" applyBorder="1" applyAlignment="1">
      <alignment vertical="center"/>
    </xf>
  </cellXfs>
  <cellStyles count="440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7"/>
    </mc:Choice>
    <mc:Fallback>
      <c:style val="17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Demand for Anduril, </a:t>
            </a:r>
          </a:p>
          <a:p>
            <a:pPr>
              <a:defRPr/>
            </a:pPr>
            <a:r>
              <a:rPr lang="en-US"/>
              <a:t>Flame of the West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Timeseries!$B$1</c:f>
              <c:strCache>
                <c:ptCount val="1"/>
                <c:pt idx="0">
                  <c:v>Demand</c:v>
                </c:pt>
              </c:strCache>
            </c:strRef>
          </c:tx>
          <c:spPr>
            <a:ln w="47625">
              <a:noFill/>
            </a:ln>
          </c:spPr>
          <c:xVal>
            <c:numRef>
              <c:f>Timeseries!$A$2:$A$37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Timeseries!$B$2:$B$37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2214376"/>
        <c:axId val="2072212040"/>
      </c:scatterChart>
      <c:valAx>
        <c:axId val="2072214376"/>
        <c:scaling>
          <c:orientation val="minMax"/>
          <c:max val="36.0"/>
          <c:min val="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Months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2212040"/>
        <c:crosses val="autoZero"/>
        <c:crossBetween val="midCat"/>
        <c:majorUnit val="6.0"/>
      </c:valAx>
      <c:valAx>
        <c:axId val="2072212040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221437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6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Simple Exponential Smoothing Forecast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SES!$A$6:$A$41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SES!$B$6:$B$41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0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SES!$A$42:$A$53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SES!$B$42:$B$53</c:f>
              <c:numCache>
                <c:formatCode>0</c:formatCode>
                <c:ptCount val="12"/>
                <c:pt idx="0">
                  <c:v>289.9010594768457</c:v>
                </c:pt>
                <c:pt idx="1">
                  <c:v>289.9010594768457</c:v>
                </c:pt>
                <c:pt idx="2">
                  <c:v>289.9010594768457</c:v>
                </c:pt>
                <c:pt idx="3">
                  <c:v>289.9010594768457</c:v>
                </c:pt>
                <c:pt idx="4">
                  <c:v>289.9010594768457</c:v>
                </c:pt>
                <c:pt idx="5">
                  <c:v>289.9010594768457</c:v>
                </c:pt>
                <c:pt idx="6">
                  <c:v>289.9010594768457</c:v>
                </c:pt>
                <c:pt idx="7">
                  <c:v>289.9010594768457</c:v>
                </c:pt>
                <c:pt idx="8">
                  <c:v>289.9010594768457</c:v>
                </c:pt>
                <c:pt idx="9">
                  <c:v>289.9010594768457</c:v>
                </c:pt>
                <c:pt idx="10">
                  <c:v>289.9010594768457</c:v>
                </c:pt>
                <c:pt idx="11">
                  <c:v>289.9010594768457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5576808"/>
        <c:axId val="2075582280"/>
      </c:scatterChart>
      <c:valAx>
        <c:axId val="2075576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5582280"/>
        <c:crosses val="autoZero"/>
        <c:crossBetween val="midCat"/>
      </c:valAx>
      <c:valAx>
        <c:axId val="2075582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5576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Trend and Level Estimate from </a:t>
            </a:r>
          </a:p>
          <a:p>
            <a:pPr>
              <a:defRPr/>
            </a:pPr>
            <a:r>
              <a:rPr lang="en-US"/>
              <a:t>First Half of Data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>
              <a:noFill/>
            </a:ln>
          </c:spPr>
          <c:trendline>
            <c:trendlineType val="linear"/>
            <c:dispRSqr val="0"/>
            <c:dispEq val="1"/>
            <c:trendlineLbl>
              <c:layout>
                <c:manualLayout>
                  <c:x val="-0.287342832145982"/>
                  <c:y val="-0.122314916017934"/>
                </c:manualLayout>
              </c:layout>
              <c:numFmt formatCode="General" sourceLinked="0"/>
              <c:txPr>
                <a:bodyPr/>
                <a:lstStyle/>
                <a:p>
                  <a:pPr>
                    <a:defRPr sz="1400" b="1"/>
                  </a:pPr>
                  <a:endParaRPr lang="en-US"/>
                </a:p>
              </c:txPr>
            </c:trendlineLbl>
          </c:trendline>
          <c:xVal>
            <c:numRef>
              <c:f>'Holt''sTrend-Corrected'!$A$6:$A$23</c:f>
              <c:numCache>
                <c:formatCode>General</c:formatCode>
                <c:ptCount val="18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</c:numCache>
            </c:numRef>
          </c:xVal>
          <c:yVal>
            <c:numRef>
              <c:f>'Holt''sTrend-Corrected'!$B$6:$B$23</c:f>
              <c:numCache>
                <c:formatCode>General</c:formatCode>
                <c:ptCount val="18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0075592"/>
        <c:axId val="2080114776"/>
      </c:scatterChart>
      <c:valAx>
        <c:axId val="2080075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0114776"/>
        <c:crosses val="autoZero"/>
        <c:crossBetween val="midCat"/>
      </c:valAx>
      <c:valAx>
        <c:axId val="2080114776"/>
        <c:scaling>
          <c:orientation val="minMax"/>
          <c:max val="220.0"/>
          <c:min val="12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0075592"/>
        <c:crosses val="autoZero"/>
        <c:crossBetween val="midCat"/>
        <c:majorUnit val="20.0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Holt's Trend-Corrected</a:t>
            </a:r>
            <a:r>
              <a:rPr lang="en-US" baseline="0"/>
              <a:t> Forecast</a:t>
            </a:r>
            <a:endParaRPr lang="en-U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Historical</c:v>
          </c:tx>
          <c:marker>
            <c:symbol val="none"/>
          </c:marker>
          <c:xVal>
            <c:numRef>
              <c:f>'Holt''sTrend-Corrected'!$A$6:$A$41</c:f>
              <c:numCache>
                <c:formatCode>General</c:formatCode>
                <c:ptCount val="36"/>
                <c:pt idx="0">
                  <c:v>1.0</c:v>
                </c:pt>
                <c:pt idx="1">
                  <c:v>2.0</c:v>
                </c:pt>
                <c:pt idx="2">
                  <c:v>3.0</c:v>
                </c:pt>
                <c:pt idx="3">
                  <c:v>4.0</c:v>
                </c:pt>
                <c:pt idx="4">
                  <c:v>5.0</c:v>
                </c:pt>
                <c:pt idx="5">
                  <c:v>6.0</c:v>
                </c:pt>
                <c:pt idx="6">
                  <c:v>7.0</c:v>
                </c:pt>
                <c:pt idx="7">
                  <c:v>8.0</c:v>
                </c:pt>
                <c:pt idx="8">
                  <c:v>9.0</c:v>
                </c:pt>
                <c:pt idx="9">
                  <c:v>10.0</c:v>
                </c:pt>
                <c:pt idx="10">
                  <c:v>11.0</c:v>
                </c:pt>
                <c:pt idx="11">
                  <c:v>12.0</c:v>
                </c:pt>
                <c:pt idx="12">
                  <c:v>13.0</c:v>
                </c:pt>
                <c:pt idx="13">
                  <c:v>14.0</c:v>
                </c:pt>
                <c:pt idx="14">
                  <c:v>15.0</c:v>
                </c:pt>
                <c:pt idx="15">
                  <c:v>16.0</c:v>
                </c:pt>
                <c:pt idx="16">
                  <c:v>17.0</c:v>
                </c:pt>
                <c:pt idx="17">
                  <c:v>18.0</c:v>
                </c:pt>
                <c:pt idx="18">
                  <c:v>19.0</c:v>
                </c:pt>
                <c:pt idx="19">
                  <c:v>20.0</c:v>
                </c:pt>
                <c:pt idx="20">
                  <c:v>21.0</c:v>
                </c:pt>
                <c:pt idx="21">
                  <c:v>22.0</c:v>
                </c:pt>
                <c:pt idx="22">
                  <c:v>23.0</c:v>
                </c:pt>
                <c:pt idx="23">
                  <c:v>24.0</c:v>
                </c:pt>
                <c:pt idx="24">
                  <c:v>25.0</c:v>
                </c:pt>
                <c:pt idx="25">
                  <c:v>26.0</c:v>
                </c:pt>
                <c:pt idx="26">
                  <c:v>27.0</c:v>
                </c:pt>
                <c:pt idx="27">
                  <c:v>28.0</c:v>
                </c:pt>
                <c:pt idx="28">
                  <c:v>29.0</c:v>
                </c:pt>
                <c:pt idx="29">
                  <c:v>30.0</c:v>
                </c:pt>
                <c:pt idx="30">
                  <c:v>31.0</c:v>
                </c:pt>
                <c:pt idx="31">
                  <c:v>32.0</c:v>
                </c:pt>
                <c:pt idx="32">
                  <c:v>33.0</c:v>
                </c:pt>
                <c:pt idx="33">
                  <c:v>34.0</c:v>
                </c:pt>
                <c:pt idx="34">
                  <c:v>35.0</c:v>
                </c:pt>
                <c:pt idx="35">
                  <c:v>36.0</c:v>
                </c:pt>
              </c:numCache>
            </c:numRef>
          </c:xVal>
          <c:yVal>
            <c:numRef>
              <c:f>'Holt''sTrend-Corrected'!$B$6:$B$41</c:f>
              <c:numCache>
                <c:formatCode>General</c:formatCode>
                <c:ptCount val="36"/>
                <c:pt idx="0">
                  <c:v>165.0</c:v>
                </c:pt>
                <c:pt idx="1">
                  <c:v>171.0</c:v>
                </c:pt>
                <c:pt idx="2">
                  <c:v>147.0</c:v>
                </c:pt>
                <c:pt idx="3">
                  <c:v>143.0</c:v>
                </c:pt>
                <c:pt idx="4">
                  <c:v>164.0</c:v>
                </c:pt>
                <c:pt idx="5">
                  <c:v>160.0</c:v>
                </c:pt>
                <c:pt idx="6">
                  <c:v>152.0</c:v>
                </c:pt>
                <c:pt idx="7">
                  <c:v>150.0</c:v>
                </c:pt>
                <c:pt idx="8">
                  <c:v>159.0</c:v>
                </c:pt>
                <c:pt idx="9">
                  <c:v>169.0</c:v>
                </c:pt>
                <c:pt idx="10">
                  <c:v>173.0</c:v>
                </c:pt>
                <c:pt idx="11">
                  <c:v>203.0</c:v>
                </c:pt>
                <c:pt idx="12">
                  <c:v>169.0</c:v>
                </c:pt>
                <c:pt idx="13">
                  <c:v>166.0</c:v>
                </c:pt>
                <c:pt idx="14">
                  <c:v>162.0</c:v>
                </c:pt>
                <c:pt idx="15">
                  <c:v>147.0</c:v>
                </c:pt>
                <c:pt idx="16">
                  <c:v>188.0</c:v>
                </c:pt>
                <c:pt idx="17">
                  <c:v>161.0</c:v>
                </c:pt>
                <c:pt idx="18">
                  <c:v>162.0</c:v>
                </c:pt>
                <c:pt idx="19">
                  <c:v>169.0</c:v>
                </c:pt>
                <c:pt idx="20">
                  <c:v>185.0</c:v>
                </c:pt>
                <c:pt idx="21">
                  <c:v>188.0</c:v>
                </c:pt>
                <c:pt idx="22">
                  <c:v>200.0</c:v>
                </c:pt>
                <c:pt idx="23">
                  <c:v>229.0</c:v>
                </c:pt>
                <c:pt idx="24">
                  <c:v>189.0</c:v>
                </c:pt>
                <c:pt idx="25">
                  <c:v>218.0</c:v>
                </c:pt>
                <c:pt idx="26">
                  <c:v>185.0</c:v>
                </c:pt>
                <c:pt idx="27">
                  <c:v>199.0</c:v>
                </c:pt>
                <c:pt idx="28">
                  <c:v>210.0</c:v>
                </c:pt>
                <c:pt idx="29">
                  <c:v>193.0</c:v>
                </c:pt>
                <c:pt idx="30">
                  <c:v>211.0</c:v>
                </c:pt>
                <c:pt idx="31">
                  <c:v>208.0</c:v>
                </c:pt>
                <c:pt idx="32">
                  <c:v>216.0</c:v>
                </c:pt>
                <c:pt idx="33">
                  <c:v>218.0</c:v>
                </c:pt>
                <c:pt idx="34">
                  <c:v>264.0</c:v>
                </c:pt>
                <c:pt idx="35">
                  <c:v>304.0</c:v>
                </c:pt>
              </c:numCache>
            </c:numRef>
          </c:yVal>
          <c:smooth val="1"/>
        </c:ser>
        <c:ser>
          <c:idx val="1"/>
          <c:order val="1"/>
          <c:tx>
            <c:v>Forecast</c:v>
          </c:tx>
          <c:marker>
            <c:symbol val="none"/>
          </c:marker>
          <c:xVal>
            <c:numRef>
              <c:f>'Holt''sTrend-Corrected'!$A$42:$A$53</c:f>
              <c:numCache>
                <c:formatCode>General</c:formatCode>
                <c:ptCount val="12"/>
                <c:pt idx="0">
                  <c:v>37.0</c:v>
                </c:pt>
                <c:pt idx="1">
                  <c:v>38.0</c:v>
                </c:pt>
                <c:pt idx="2">
                  <c:v>39.0</c:v>
                </c:pt>
                <c:pt idx="3">
                  <c:v>40.0</c:v>
                </c:pt>
                <c:pt idx="4">
                  <c:v>41.0</c:v>
                </c:pt>
                <c:pt idx="5">
                  <c:v>42.0</c:v>
                </c:pt>
                <c:pt idx="6">
                  <c:v>43.0</c:v>
                </c:pt>
                <c:pt idx="7">
                  <c:v>44.0</c:v>
                </c:pt>
                <c:pt idx="8">
                  <c:v>45.0</c:v>
                </c:pt>
                <c:pt idx="9">
                  <c:v>46.0</c:v>
                </c:pt>
                <c:pt idx="10">
                  <c:v>47.0</c:v>
                </c:pt>
                <c:pt idx="11">
                  <c:v>48.0</c:v>
                </c:pt>
              </c:numCache>
            </c:numRef>
          </c:xVal>
          <c:yVal>
            <c:numRef>
              <c:f>'Holt''sTrend-Corrected'!$B$42:$B$53</c:f>
              <c:numCache>
                <c:formatCode>General</c:formatCode>
                <c:ptCount val="12"/>
                <c:pt idx="0">
                  <c:v>291.7094595275203</c:v>
                </c:pt>
                <c:pt idx="1">
                  <c:v>297.0538594204934</c:v>
                </c:pt>
                <c:pt idx="2">
                  <c:v>302.3982593134665</c:v>
                </c:pt>
                <c:pt idx="3">
                  <c:v>307.7426592064397</c:v>
                </c:pt>
                <c:pt idx="4">
                  <c:v>313.0870590994128</c:v>
                </c:pt>
                <c:pt idx="5">
                  <c:v>318.4314589923859</c:v>
                </c:pt>
                <c:pt idx="6">
                  <c:v>323.775858885359</c:v>
                </c:pt>
                <c:pt idx="7">
                  <c:v>329.1202587783321</c:v>
                </c:pt>
                <c:pt idx="8">
                  <c:v>334.4646586713052</c:v>
                </c:pt>
                <c:pt idx="9">
                  <c:v>339.8090585642783</c:v>
                </c:pt>
                <c:pt idx="10">
                  <c:v>345.1534584572514</c:v>
                </c:pt>
                <c:pt idx="11">
                  <c:v>350.4978583502245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445928"/>
        <c:axId val="2079564104"/>
      </c:scatterChart>
      <c:valAx>
        <c:axId val="2082445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79564104"/>
        <c:crosses val="autoZero"/>
        <c:crossBetween val="midCat"/>
      </c:valAx>
      <c:valAx>
        <c:axId val="2079564104"/>
        <c:scaling>
          <c:orientation val="minMax"/>
          <c:min val="10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Demand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2445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Correlogram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>
                <a:alpha val="21000"/>
              </a:schemeClr>
            </a:solidFill>
          </c:spPr>
          <c:invertIfNegative val="0"/>
          <c:val>
            <c:numRef>
              <c:f>'Holt''s Autocorrelation'!$D$40:$O$40</c:f>
              <c:numCache>
                <c:formatCode>General</c:formatCode>
                <c:ptCount val="12"/>
                <c:pt idx="0">
                  <c:v>-0.0347637568006126</c:v>
                </c:pt>
                <c:pt idx="1">
                  <c:v>0.055244752222823</c:v>
                </c:pt>
                <c:pt idx="2">
                  <c:v>-0.0168152874480398</c:v>
                </c:pt>
                <c:pt idx="3">
                  <c:v>-0.163061645425516</c:v>
                </c:pt>
                <c:pt idx="4">
                  <c:v>0.113243623459952</c:v>
                </c:pt>
                <c:pt idx="5">
                  <c:v>-0.179113025304616</c:v>
                </c:pt>
                <c:pt idx="6">
                  <c:v>0.131300708110709</c:v>
                </c:pt>
                <c:pt idx="7">
                  <c:v>-0.32138067316898</c:v>
                </c:pt>
                <c:pt idx="8">
                  <c:v>-0.0122976792963977</c:v>
                </c:pt>
                <c:pt idx="9">
                  <c:v>-0.107093827926389</c:v>
                </c:pt>
                <c:pt idx="10">
                  <c:v>0.0537561480648622</c:v>
                </c:pt>
                <c:pt idx="11">
                  <c:v>0.404258709996945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82330008"/>
        <c:axId val="2080002152"/>
      </c:barChart>
      <c:lineChart>
        <c:grouping val="standard"/>
        <c:varyColors val="0"/>
        <c:ser>
          <c:idx val="1"/>
          <c:order val="1"/>
          <c:spPr>
            <a:ln>
              <a:prstDash val="sysDot"/>
            </a:ln>
          </c:spPr>
          <c:marker>
            <c:symbol val="none"/>
          </c:marker>
          <c:val>
            <c:numRef>
              <c:f>'Holt''s Autocorrelation'!$D$42:$O$42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0.333333333333333</c:v>
                </c:pt>
                <c:pt idx="7">
                  <c:v>0.333333333333333</c:v>
                </c:pt>
                <c:pt idx="8">
                  <c:v>0.333333333333333</c:v>
                </c:pt>
                <c:pt idx="9">
                  <c:v>0.333333333333333</c:v>
                </c:pt>
                <c:pt idx="10">
                  <c:v>0.333333333333333</c:v>
                </c:pt>
                <c:pt idx="11">
                  <c:v>0.333333333333333</c:v>
                </c:pt>
              </c:numCache>
            </c:numRef>
          </c:val>
          <c:smooth val="0"/>
        </c:ser>
        <c:ser>
          <c:idx val="2"/>
          <c:order val="2"/>
          <c:spPr>
            <a:ln>
              <a:prstDash val="sysDash"/>
            </a:ln>
          </c:spPr>
          <c:marker>
            <c:symbol val="none"/>
          </c:marker>
          <c:val>
            <c:numRef>
              <c:f>'Holt''s Autocorrelation'!$D$43:$O$43</c:f>
              <c:numCache>
                <c:formatCode>General</c:formatCode>
                <c:ptCount val="12"/>
                <c:pt idx="0">
                  <c:v>-0.333333333333333</c:v>
                </c:pt>
                <c:pt idx="1">
                  <c:v>-0.333333333333333</c:v>
                </c:pt>
                <c:pt idx="2">
                  <c:v>-0.333333333333333</c:v>
                </c:pt>
                <c:pt idx="3">
                  <c:v>-0.333333333333333</c:v>
                </c:pt>
                <c:pt idx="4">
                  <c:v>-0.333333333333333</c:v>
                </c:pt>
                <c:pt idx="5">
                  <c:v>-0.333333333333333</c:v>
                </c:pt>
                <c:pt idx="6">
                  <c:v>-0.333333333333333</c:v>
                </c:pt>
                <c:pt idx="7">
                  <c:v>-0.333333333333333</c:v>
                </c:pt>
                <c:pt idx="8">
                  <c:v>-0.333333333333333</c:v>
                </c:pt>
                <c:pt idx="9">
                  <c:v>-0.333333333333333</c:v>
                </c:pt>
                <c:pt idx="10">
                  <c:v>-0.333333333333333</c:v>
                </c:pt>
                <c:pt idx="11">
                  <c:v>-0.333333333333333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82330008"/>
        <c:axId val="2080002152"/>
      </c:lineChart>
      <c:catAx>
        <c:axId val="2082330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Lag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80002152"/>
        <c:crosses val="autoZero"/>
        <c:auto val="1"/>
        <c:lblAlgn val="ctr"/>
        <c:lblOffset val="100"/>
        <c:noMultiLvlLbl val="0"/>
      </c:catAx>
      <c:valAx>
        <c:axId val="2080002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Autocorrelation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823300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63500</xdr:colOff>
      <xdr:row>0</xdr:row>
      <xdr:rowOff>194732</xdr:rowOff>
    </xdr:from>
    <xdr:to>
      <xdr:col>9</xdr:col>
      <xdr:colOff>215900</xdr:colOff>
      <xdr:row>36</xdr:row>
      <xdr:rowOff>135466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4</xdr:row>
      <xdr:rowOff>165100</xdr:rowOff>
    </xdr:from>
    <xdr:to>
      <xdr:col>13</xdr:col>
      <xdr:colOff>787400</xdr:colOff>
      <xdr:row>25</xdr:row>
      <xdr:rowOff>139700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5</xdr:row>
      <xdr:rowOff>12700</xdr:rowOff>
    </xdr:from>
    <xdr:to>
      <xdr:col>17</xdr:col>
      <xdr:colOff>635000</xdr:colOff>
      <xdr:row>28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50800</xdr:colOff>
      <xdr:row>29</xdr:row>
      <xdr:rowOff>139700</xdr:rowOff>
    </xdr:from>
    <xdr:to>
      <xdr:col>17</xdr:col>
      <xdr:colOff>635000</xdr:colOff>
      <xdr:row>48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177800</xdr:colOff>
      <xdr:row>12</xdr:row>
      <xdr:rowOff>82550</xdr:rowOff>
    </xdr:from>
    <xdr:to>
      <xdr:col>24</xdr:col>
      <xdr:colOff>800100</xdr:colOff>
      <xdr:row>39</xdr:row>
      <xdr:rowOff>63500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42"/>
  <sheetViews>
    <sheetView topLeftCell="A31" zoomScale="150" zoomScaleNormal="150" zoomScalePageLayoutView="150" workbookViewId="0">
      <selection activeCell="B42" sqref="B42"/>
    </sheetView>
  </sheetViews>
  <sheetFormatPr baseColWidth="10" defaultColWidth="11" defaultRowHeight="15" x14ac:dyDescent="0"/>
  <cols>
    <col min="1" max="1" width="6.33203125" customWidth="1"/>
    <col min="2" max="2" width="12.1640625" style="3" bestFit="1" customWidth="1"/>
  </cols>
  <sheetData>
    <row r="1" spans="1:2">
      <c r="A1" s="4" t="s">
        <v>1</v>
      </c>
      <c r="B1" s="5" t="s">
        <v>0</v>
      </c>
    </row>
    <row r="2" spans="1:2" s="10" customFormat="1" ht="12" customHeight="1">
      <c r="A2" s="8">
        <v>1</v>
      </c>
      <c r="B2" s="9">
        <v>165</v>
      </c>
    </row>
    <row r="3" spans="1:2" s="10" customFormat="1" ht="12" customHeight="1">
      <c r="A3" s="8">
        <v>2</v>
      </c>
      <c r="B3" s="9">
        <v>171</v>
      </c>
    </row>
    <row r="4" spans="1:2" s="10" customFormat="1" ht="12" customHeight="1">
      <c r="A4" s="8">
        <v>3</v>
      </c>
      <c r="B4" s="9">
        <v>147</v>
      </c>
    </row>
    <row r="5" spans="1:2" s="10" customFormat="1" ht="12" customHeight="1">
      <c r="A5" s="8">
        <v>4</v>
      </c>
      <c r="B5" s="9">
        <v>143</v>
      </c>
    </row>
    <row r="6" spans="1:2" s="10" customFormat="1" ht="12" customHeight="1">
      <c r="A6" s="8">
        <v>5</v>
      </c>
      <c r="B6" s="9">
        <v>164</v>
      </c>
    </row>
    <row r="7" spans="1:2" s="10" customFormat="1" ht="12" customHeight="1">
      <c r="A7" s="8">
        <v>6</v>
      </c>
      <c r="B7" s="9">
        <v>160</v>
      </c>
    </row>
    <row r="8" spans="1:2" s="10" customFormat="1" ht="12" customHeight="1">
      <c r="A8" s="8">
        <v>7</v>
      </c>
      <c r="B8" s="9">
        <v>152</v>
      </c>
    </row>
    <row r="9" spans="1:2" s="10" customFormat="1" ht="12" customHeight="1">
      <c r="A9" s="8">
        <v>8</v>
      </c>
      <c r="B9" s="9">
        <v>150</v>
      </c>
    </row>
    <row r="10" spans="1:2" s="10" customFormat="1" ht="12" customHeight="1">
      <c r="A10" s="8">
        <v>9</v>
      </c>
      <c r="B10" s="9">
        <v>159</v>
      </c>
    </row>
    <row r="11" spans="1:2" s="10" customFormat="1" ht="12" customHeight="1">
      <c r="A11" s="8">
        <v>10</v>
      </c>
      <c r="B11" s="9">
        <v>169</v>
      </c>
    </row>
    <row r="12" spans="1:2" s="10" customFormat="1" ht="12" customHeight="1">
      <c r="A12" s="8">
        <v>11</v>
      </c>
      <c r="B12" s="9">
        <v>173</v>
      </c>
    </row>
    <row r="13" spans="1:2" s="10" customFormat="1" ht="12" customHeight="1">
      <c r="A13" s="8">
        <v>12</v>
      </c>
      <c r="B13" s="9">
        <v>203</v>
      </c>
    </row>
    <row r="14" spans="1:2" s="10" customFormat="1" ht="12" customHeight="1">
      <c r="A14" s="8">
        <v>13</v>
      </c>
      <c r="B14" s="9">
        <v>169</v>
      </c>
    </row>
    <row r="15" spans="1:2" s="10" customFormat="1" ht="12" customHeight="1">
      <c r="A15" s="8">
        <v>14</v>
      </c>
      <c r="B15" s="9">
        <v>166</v>
      </c>
    </row>
    <row r="16" spans="1:2" s="10" customFormat="1" ht="12" customHeight="1">
      <c r="A16" s="8">
        <v>15</v>
      </c>
      <c r="B16" s="9">
        <v>162</v>
      </c>
    </row>
    <row r="17" spans="1:2" s="10" customFormat="1" ht="12" customHeight="1">
      <c r="A17" s="8">
        <v>16</v>
      </c>
      <c r="B17" s="9">
        <v>147</v>
      </c>
    </row>
    <row r="18" spans="1:2" s="10" customFormat="1" ht="12" customHeight="1">
      <c r="A18" s="8">
        <v>17</v>
      </c>
      <c r="B18" s="9">
        <v>188</v>
      </c>
    </row>
    <row r="19" spans="1:2" s="10" customFormat="1" ht="12" customHeight="1">
      <c r="A19" s="8">
        <v>18</v>
      </c>
      <c r="B19" s="9">
        <v>161</v>
      </c>
    </row>
    <row r="20" spans="1:2" s="10" customFormat="1" ht="12" customHeight="1">
      <c r="A20" s="8">
        <v>19</v>
      </c>
      <c r="B20" s="9">
        <v>162</v>
      </c>
    </row>
    <row r="21" spans="1:2" s="10" customFormat="1" ht="12" customHeight="1">
      <c r="A21" s="8">
        <v>20</v>
      </c>
      <c r="B21" s="9">
        <v>169</v>
      </c>
    </row>
    <row r="22" spans="1:2" s="10" customFormat="1" ht="12" customHeight="1">
      <c r="A22" s="8">
        <v>21</v>
      </c>
      <c r="B22" s="9">
        <v>185</v>
      </c>
    </row>
    <row r="23" spans="1:2" s="10" customFormat="1" ht="12" customHeight="1">
      <c r="A23" s="8">
        <v>22</v>
      </c>
      <c r="B23" s="9">
        <v>188</v>
      </c>
    </row>
    <row r="24" spans="1:2" s="10" customFormat="1" ht="12" customHeight="1">
      <c r="A24" s="8">
        <v>23</v>
      </c>
      <c r="B24" s="9">
        <v>200</v>
      </c>
    </row>
    <row r="25" spans="1:2" s="10" customFormat="1" ht="12" customHeight="1">
      <c r="A25" s="8">
        <v>24</v>
      </c>
      <c r="B25" s="9">
        <v>229</v>
      </c>
    </row>
    <row r="26" spans="1:2" s="10" customFormat="1" ht="12" customHeight="1">
      <c r="A26" s="8">
        <v>25</v>
      </c>
      <c r="B26" s="9">
        <v>189</v>
      </c>
    </row>
    <row r="27" spans="1:2" s="10" customFormat="1" ht="12" customHeight="1">
      <c r="A27" s="8">
        <v>26</v>
      </c>
      <c r="B27" s="9">
        <v>218</v>
      </c>
    </row>
    <row r="28" spans="1:2" s="10" customFormat="1" ht="12" customHeight="1">
      <c r="A28" s="8">
        <v>27</v>
      </c>
      <c r="B28" s="9">
        <v>185</v>
      </c>
    </row>
    <row r="29" spans="1:2" s="10" customFormat="1" ht="12" customHeight="1">
      <c r="A29" s="8">
        <v>28</v>
      </c>
      <c r="B29" s="9">
        <v>199</v>
      </c>
    </row>
    <row r="30" spans="1:2" s="10" customFormat="1" ht="12" customHeight="1">
      <c r="A30" s="8">
        <v>29</v>
      </c>
      <c r="B30" s="9">
        <v>210</v>
      </c>
    </row>
    <row r="31" spans="1:2" s="10" customFormat="1" ht="12" customHeight="1">
      <c r="A31" s="8">
        <v>30</v>
      </c>
      <c r="B31" s="9">
        <v>193</v>
      </c>
    </row>
    <row r="32" spans="1:2" s="10" customFormat="1" ht="12" customHeight="1">
      <c r="A32" s="8">
        <v>31</v>
      </c>
      <c r="B32" s="9">
        <v>211</v>
      </c>
    </row>
    <row r="33" spans="1:2" s="10" customFormat="1" ht="12" customHeight="1">
      <c r="A33" s="8">
        <v>32</v>
      </c>
      <c r="B33" s="9">
        <v>208</v>
      </c>
    </row>
    <row r="34" spans="1:2" s="10" customFormat="1" ht="12" customHeight="1">
      <c r="A34" s="8">
        <v>33</v>
      </c>
      <c r="B34" s="9">
        <v>216</v>
      </c>
    </row>
    <row r="35" spans="1:2" s="10" customFormat="1" ht="12" customHeight="1">
      <c r="A35" s="8">
        <v>34</v>
      </c>
      <c r="B35" s="9">
        <v>218</v>
      </c>
    </row>
    <row r="36" spans="1:2" s="10" customFormat="1" ht="12" customHeight="1">
      <c r="A36" s="8">
        <v>35</v>
      </c>
      <c r="B36" s="9">
        <v>264</v>
      </c>
    </row>
    <row r="37" spans="1:2" s="10" customFormat="1" ht="12" customHeight="1">
      <c r="A37" s="11">
        <v>36</v>
      </c>
      <c r="B37" s="12">
        <v>304</v>
      </c>
    </row>
    <row r="39" spans="1:2">
      <c r="A39" t="s">
        <v>8</v>
      </c>
      <c r="B39" s="6">
        <f>INDEX(LINEST(B2:B37,A2:A37,TRUE,TRUE),1,1)</f>
        <v>2.5386100386100385</v>
      </c>
    </row>
    <row r="40" spans="1:2">
      <c r="A40" t="s">
        <v>11</v>
      </c>
      <c r="B40" s="6">
        <f>INDEX(LINEST(B2:B37,A2:A37,TRUE,TRUE),2,1)</f>
        <v>0.34018172051263179</v>
      </c>
    </row>
    <row r="41" spans="1:2">
      <c r="A41" t="s">
        <v>9</v>
      </c>
      <c r="B41" s="3">
        <f>INDEX(LINEST(B2:B37,A2:A37,TRUE,TRUE),4,2)</f>
        <v>34</v>
      </c>
    </row>
    <row r="42" spans="1:2">
      <c r="A42" t="s">
        <v>10</v>
      </c>
      <c r="B42" s="7">
        <f>TDIST(ABS(B39/B40),B41,2)</f>
        <v>1.1694156537818746E-8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workbookViewId="0">
      <pane ySplit="4" topLeftCell="A24" activePane="bottomLeft" state="frozen"/>
      <selection pane="bottomLeft" activeCell="E2" sqref="E2"/>
    </sheetView>
  </sheetViews>
  <sheetFormatPr baseColWidth="10" defaultRowHeight="15" x14ac:dyDescent="0"/>
  <cols>
    <col min="3" max="3" width="16" customWidth="1"/>
  </cols>
  <sheetData>
    <row r="1" spans="1:6" ht="45">
      <c r="A1" t="s">
        <v>2</v>
      </c>
      <c r="C1" s="1" t="s">
        <v>12</v>
      </c>
      <c r="E1" t="s">
        <v>6</v>
      </c>
      <c r="F1" t="s">
        <v>7</v>
      </c>
    </row>
    <row r="2" spans="1:6">
      <c r="A2">
        <v>36</v>
      </c>
      <c r="C2">
        <v>0.73208981896753667</v>
      </c>
      <c r="E2" s="2">
        <f>SUM(F6:F41)</f>
        <v>14555.771064023978</v>
      </c>
      <c r="F2">
        <f>SQRT(E2/(36-1))</f>
        <v>20.393115830049805</v>
      </c>
    </row>
    <row r="4" spans="1:6">
      <c r="A4" s="13" t="s">
        <v>1</v>
      </c>
      <c r="B4" s="13" t="s">
        <v>0</v>
      </c>
      <c r="C4" s="15" t="s">
        <v>3</v>
      </c>
      <c r="D4" s="15" t="s">
        <v>13</v>
      </c>
      <c r="E4" s="15" t="s">
        <v>4</v>
      </c>
      <c r="F4" s="15" t="s">
        <v>5</v>
      </c>
    </row>
    <row r="5" spans="1:6">
      <c r="A5" s="16">
        <v>0</v>
      </c>
      <c r="B5" s="17"/>
      <c r="C5" s="18">
        <f>AVERAGE(B6:B17)</f>
        <v>163</v>
      </c>
      <c r="D5" s="18"/>
      <c r="E5" s="18"/>
      <c r="F5" s="18"/>
    </row>
    <row r="6" spans="1:6">
      <c r="A6" s="14">
        <v>1</v>
      </c>
      <c r="B6" s="14">
        <v>165</v>
      </c>
      <c r="C6">
        <f>C5+$C$2*E6</f>
        <v>164.46417963793508</v>
      </c>
      <c r="D6">
        <f>C5</f>
        <v>163</v>
      </c>
      <c r="E6">
        <f>B6-D6</f>
        <v>2</v>
      </c>
      <c r="F6">
        <f>E6^2</f>
        <v>4</v>
      </c>
    </row>
    <row r="7" spans="1:6">
      <c r="A7" s="14">
        <v>2</v>
      </c>
      <c r="B7" s="14">
        <v>171</v>
      </c>
      <c r="C7" s="19">
        <f t="shared" ref="C7:C41" si="0">C6+$C$2*E7</f>
        <v>169.24898718360353</v>
      </c>
      <c r="D7" s="19">
        <f t="shared" ref="D7:D41" si="1">C6</f>
        <v>164.46417963793508</v>
      </c>
      <c r="E7" s="19">
        <f t="shared" ref="E7:E41" si="2">B7-D7</f>
        <v>6.5358203620649249</v>
      </c>
      <c r="F7">
        <f t="shared" ref="F7:F41" si="3">E7^2</f>
        <v>42.716947805182485</v>
      </c>
    </row>
    <row r="8" spans="1:6">
      <c r="A8" s="14">
        <v>3</v>
      </c>
      <c r="B8" s="14">
        <v>147</v>
      </c>
      <c r="C8" s="19">
        <f t="shared" si="0"/>
        <v>152.96073018414819</v>
      </c>
      <c r="D8" s="19">
        <f t="shared" si="1"/>
        <v>169.24898718360353</v>
      </c>
      <c r="E8" s="19">
        <f t="shared" si="2"/>
        <v>-22.248987183603532</v>
      </c>
      <c r="F8">
        <f t="shared" si="3"/>
        <v>495.01743069615424</v>
      </c>
    </row>
    <row r="9" spans="1:6">
      <c r="A9" s="14">
        <v>4</v>
      </c>
      <c r="B9" s="14">
        <v>143</v>
      </c>
      <c r="C9" s="19">
        <f t="shared" si="0"/>
        <v>145.66858102685066</v>
      </c>
      <c r="D9" s="19">
        <f t="shared" si="1"/>
        <v>152.96073018414819</v>
      </c>
      <c r="E9" s="19">
        <f t="shared" si="2"/>
        <v>-9.9607301841481899</v>
      </c>
      <c r="F9">
        <f t="shared" si="3"/>
        <v>99.216145801400828</v>
      </c>
    </row>
    <row r="10" spans="1:6">
      <c r="A10" s="14">
        <v>5</v>
      </c>
      <c r="B10" s="14">
        <v>164</v>
      </c>
      <c r="C10" s="19">
        <f t="shared" si="0"/>
        <v>159.08882622432162</v>
      </c>
      <c r="D10" s="19">
        <f t="shared" si="1"/>
        <v>145.66858102685066</v>
      </c>
      <c r="E10" s="19">
        <f t="shared" si="2"/>
        <v>18.33141897314934</v>
      </c>
      <c r="F10">
        <f t="shared" si="3"/>
        <v>336.04092156913958</v>
      </c>
    </row>
    <row r="11" spans="1:6">
      <c r="A11" s="14">
        <v>6</v>
      </c>
      <c r="B11" s="14">
        <v>160</v>
      </c>
      <c r="C11" s="19">
        <f t="shared" si="0"/>
        <v>159.75588726880596</v>
      </c>
      <c r="D11" s="19">
        <f t="shared" si="1"/>
        <v>159.08882622432162</v>
      </c>
      <c r="E11" s="19">
        <f t="shared" si="2"/>
        <v>0.91117377567837821</v>
      </c>
      <c r="F11">
        <f t="shared" si="3"/>
        <v>0.83023764948399148</v>
      </c>
    </row>
    <row r="12" spans="1:6">
      <c r="A12" s="14">
        <v>7</v>
      </c>
      <c r="B12" s="14">
        <v>152</v>
      </c>
      <c r="C12" s="19">
        <f t="shared" si="0"/>
        <v>154.07788116225319</v>
      </c>
      <c r="D12" s="19">
        <f t="shared" si="1"/>
        <v>159.75588726880596</v>
      </c>
      <c r="E12" s="19">
        <f t="shared" si="2"/>
        <v>-7.7558872688059637</v>
      </c>
      <c r="F12">
        <f t="shared" si="3"/>
        <v>60.153787326426432</v>
      </c>
    </row>
    <row r="13" spans="1:6">
      <c r="A13" s="14">
        <v>8</v>
      </c>
      <c r="B13" s="14">
        <v>150</v>
      </c>
      <c r="C13" s="19">
        <f t="shared" si="0"/>
        <v>151.09250588040811</v>
      </c>
      <c r="D13" s="19">
        <f t="shared" si="1"/>
        <v>154.07788116225319</v>
      </c>
      <c r="E13" s="19">
        <f t="shared" si="2"/>
        <v>-4.0778811622531919</v>
      </c>
      <c r="F13">
        <f t="shared" si="3"/>
        <v>16.629114773459442</v>
      </c>
    </row>
    <row r="14" spans="1:6">
      <c r="A14" s="14">
        <v>9</v>
      </c>
      <c r="B14" s="14">
        <v>159</v>
      </c>
      <c r="C14" s="19">
        <f t="shared" si="0"/>
        <v>156.881501818907</v>
      </c>
      <c r="D14" s="19">
        <f t="shared" si="1"/>
        <v>151.09250588040811</v>
      </c>
      <c r="E14" s="19">
        <f t="shared" si="2"/>
        <v>7.9074941195918882</v>
      </c>
      <c r="F14">
        <f t="shared" si="3"/>
        <v>62.528463251380288</v>
      </c>
    </row>
    <row r="15" spans="1:6">
      <c r="A15" s="14">
        <v>10</v>
      </c>
      <c r="B15" s="14">
        <v>169</v>
      </c>
      <c r="C15" s="19">
        <f t="shared" si="0"/>
        <v>165.75333095846179</v>
      </c>
      <c r="D15" s="19">
        <f t="shared" si="1"/>
        <v>156.881501818907</v>
      </c>
      <c r="E15" s="19">
        <f t="shared" si="2"/>
        <v>12.118498181093003</v>
      </c>
      <c r="F15">
        <f t="shared" si="3"/>
        <v>146.85799816515441</v>
      </c>
    </row>
    <row r="16" spans="1:6">
      <c r="A16" s="14">
        <v>11</v>
      </c>
      <c r="B16" s="14">
        <v>173</v>
      </c>
      <c r="C16" s="19">
        <f t="shared" si="0"/>
        <v>171.05854358519915</v>
      </c>
      <c r="D16" s="19">
        <f t="shared" si="1"/>
        <v>165.75333095846179</v>
      </c>
      <c r="E16" s="19">
        <f t="shared" si="2"/>
        <v>7.2466690415382118</v>
      </c>
      <c r="F16">
        <f t="shared" si="3"/>
        <v>52.514212197588343</v>
      </c>
    </row>
    <row r="17" spans="1:8">
      <c r="A17" s="14">
        <v>12</v>
      </c>
      <c r="B17" s="14">
        <v>203</v>
      </c>
      <c r="C17" s="19">
        <f t="shared" si="0"/>
        <v>194.44255862947017</v>
      </c>
      <c r="D17" s="19">
        <f t="shared" si="1"/>
        <v>171.05854358519915</v>
      </c>
      <c r="E17" s="19">
        <f t="shared" si="2"/>
        <v>31.941456414800854</v>
      </c>
      <c r="F17">
        <f t="shared" si="3"/>
        <v>1020.2566378986226</v>
      </c>
    </row>
    <row r="18" spans="1:8">
      <c r="A18" s="14">
        <v>13</v>
      </c>
      <c r="B18" s="14">
        <v>169</v>
      </c>
      <c r="C18" s="19">
        <f t="shared" si="0"/>
        <v>175.81632048835041</v>
      </c>
      <c r="D18" s="19">
        <f t="shared" si="1"/>
        <v>194.44255862947017</v>
      </c>
      <c r="E18" s="19">
        <f t="shared" si="2"/>
        <v>-25.44255862947017</v>
      </c>
      <c r="F18">
        <f t="shared" si="3"/>
        <v>647.32378961402708</v>
      </c>
    </row>
    <row r="19" spans="1:8">
      <c r="A19" s="14">
        <v>14</v>
      </c>
      <c r="B19" s="14">
        <v>166</v>
      </c>
      <c r="C19" s="19">
        <f t="shared" si="0"/>
        <v>168.62989219910665</v>
      </c>
      <c r="D19" s="19">
        <f t="shared" si="1"/>
        <v>175.81632048835041</v>
      </c>
      <c r="E19" s="19">
        <f t="shared" si="2"/>
        <v>-9.8163204883504136</v>
      </c>
      <c r="F19">
        <f t="shared" si="3"/>
        <v>96.360147930008097</v>
      </c>
    </row>
    <row r="20" spans="1:8">
      <c r="A20" s="14">
        <v>15</v>
      </c>
      <c r="B20" s="14">
        <v>162</v>
      </c>
      <c r="C20" s="19">
        <f t="shared" si="0"/>
        <v>163.77621561928837</v>
      </c>
      <c r="D20" s="19">
        <f t="shared" si="1"/>
        <v>168.62989219910665</v>
      </c>
      <c r="E20" s="19">
        <f t="shared" si="2"/>
        <v>-6.6298921991066493</v>
      </c>
      <c r="F20">
        <f t="shared" si="3"/>
        <v>43.955470571775201</v>
      </c>
    </row>
    <row r="21" spans="1:8">
      <c r="A21" s="14">
        <v>16</v>
      </c>
      <c r="B21" s="14">
        <v>147</v>
      </c>
      <c r="C21" s="19">
        <f t="shared" si="0"/>
        <v>151.49451896360318</v>
      </c>
      <c r="D21" s="19">
        <f t="shared" si="1"/>
        <v>163.77621561928837</v>
      </c>
      <c r="E21" s="19">
        <f t="shared" si="2"/>
        <v>-16.776215619288365</v>
      </c>
      <c r="F21">
        <f t="shared" si="3"/>
        <v>281.4414105048549</v>
      </c>
    </row>
    <row r="22" spans="1:8">
      <c r="A22" s="14">
        <v>17</v>
      </c>
      <c r="B22" s="14">
        <v>188</v>
      </c>
      <c r="C22" s="19">
        <f t="shared" si="0"/>
        <v>178.21980996686176</v>
      </c>
      <c r="D22" s="19">
        <f t="shared" si="1"/>
        <v>151.49451896360318</v>
      </c>
      <c r="E22" s="19">
        <f t="shared" si="2"/>
        <v>36.505481036396816</v>
      </c>
      <c r="F22">
        <f t="shared" si="3"/>
        <v>1332.6501456987276</v>
      </c>
    </row>
    <row r="23" spans="1:8">
      <c r="A23" s="14">
        <v>18</v>
      </c>
      <c r="B23" s="14">
        <v>161</v>
      </c>
      <c r="C23" s="19">
        <f t="shared" si="0"/>
        <v>165.61336240556656</v>
      </c>
      <c r="D23" s="19">
        <f t="shared" si="1"/>
        <v>178.21980996686176</v>
      </c>
      <c r="E23" s="19">
        <f t="shared" si="2"/>
        <v>-17.21980996686176</v>
      </c>
      <c r="F23">
        <f t="shared" si="3"/>
        <v>296.5218552948316</v>
      </c>
    </row>
    <row r="24" spans="1:8">
      <c r="A24" s="14">
        <v>19</v>
      </c>
      <c r="B24" s="14">
        <v>162</v>
      </c>
      <c r="C24" s="19">
        <f t="shared" si="0"/>
        <v>162.96805657621124</v>
      </c>
      <c r="D24" s="19">
        <f t="shared" si="1"/>
        <v>165.61336240556656</v>
      </c>
      <c r="E24" s="19">
        <f t="shared" si="2"/>
        <v>-3.6133624055665621</v>
      </c>
      <c r="F24">
        <f t="shared" si="3"/>
        <v>13.056387873961771</v>
      </c>
    </row>
    <row r="25" spans="1:8">
      <c r="A25" s="14">
        <v>20</v>
      </c>
      <c r="B25" s="14">
        <v>169</v>
      </c>
      <c r="C25" s="19">
        <f t="shared" si="0"/>
        <v>167.38398094535518</v>
      </c>
      <c r="D25" s="19">
        <f t="shared" si="1"/>
        <v>162.96805657621124</v>
      </c>
      <c r="E25" s="19">
        <f t="shared" si="2"/>
        <v>6.0319434237887606</v>
      </c>
      <c r="F25">
        <f t="shared" si="3"/>
        <v>36.384341467788474</v>
      </c>
    </row>
    <row r="26" spans="1:8">
      <c r="A26" s="14">
        <v>21</v>
      </c>
      <c r="B26" s="14">
        <v>185</v>
      </c>
      <c r="C26" s="19">
        <f t="shared" si="0"/>
        <v>180.28048914599879</v>
      </c>
      <c r="D26" s="19">
        <f t="shared" si="1"/>
        <v>167.38398094535518</v>
      </c>
      <c r="E26" s="19">
        <f t="shared" si="2"/>
        <v>17.616019054644823</v>
      </c>
      <c r="F26">
        <f t="shared" si="3"/>
        <v>310.32412733360951</v>
      </c>
    </row>
    <row r="27" spans="1:8">
      <c r="A27" s="14">
        <v>22</v>
      </c>
      <c r="B27" s="14">
        <v>188</v>
      </c>
      <c r="C27" s="19">
        <f t="shared" si="0"/>
        <v>185.93186444962248</v>
      </c>
      <c r="D27" s="19">
        <f t="shared" si="1"/>
        <v>180.28048914599879</v>
      </c>
      <c r="E27" s="19">
        <f t="shared" si="2"/>
        <v>7.7195108540012143</v>
      </c>
      <c r="F27">
        <f t="shared" si="3"/>
        <v>59.590847825042559</v>
      </c>
    </row>
    <row r="28" spans="1:8">
      <c r="A28" s="14">
        <v>23</v>
      </c>
      <c r="B28" s="14">
        <v>200</v>
      </c>
      <c r="C28" s="19">
        <f t="shared" si="0"/>
        <v>196.23100325790912</v>
      </c>
      <c r="D28" s="19">
        <f t="shared" si="1"/>
        <v>185.93186444962248</v>
      </c>
      <c r="E28" s="19">
        <f t="shared" si="2"/>
        <v>14.068135550377519</v>
      </c>
      <c r="F28">
        <f t="shared" si="3"/>
        <v>197.91243786379579</v>
      </c>
      <c r="H28" t="s">
        <v>14</v>
      </c>
    </row>
    <row r="29" spans="1:8">
      <c r="A29" s="14">
        <v>24</v>
      </c>
      <c r="B29" s="14">
        <v>229</v>
      </c>
      <c r="C29" s="19">
        <f t="shared" si="0"/>
        <v>220.22085215057422</v>
      </c>
      <c r="D29" s="19">
        <f t="shared" si="1"/>
        <v>196.23100325790912</v>
      </c>
      <c r="E29" s="19">
        <f t="shared" si="2"/>
        <v>32.768996742090877</v>
      </c>
      <c r="F29">
        <f t="shared" si="3"/>
        <v>1073.8071474831625</v>
      </c>
      <c r="H29" s="20" t="s">
        <v>15</v>
      </c>
    </row>
    <row r="30" spans="1:8">
      <c r="A30" s="14">
        <v>25</v>
      </c>
      <c r="B30" s="14">
        <v>189</v>
      </c>
      <c r="C30" s="19">
        <f t="shared" si="0"/>
        <v>197.3643841516481</v>
      </c>
      <c r="D30" s="19">
        <f t="shared" si="1"/>
        <v>220.22085215057422</v>
      </c>
      <c r="E30" s="19">
        <f t="shared" si="2"/>
        <v>-31.220852150574217</v>
      </c>
      <c r="F30">
        <f t="shared" si="3"/>
        <v>974.74160900801473</v>
      </c>
      <c r="H30" t="s">
        <v>16</v>
      </c>
    </row>
    <row r="31" spans="1:8">
      <c r="A31" s="14">
        <v>26</v>
      </c>
      <c r="B31" s="14">
        <v>218</v>
      </c>
      <c r="C31" s="19">
        <f t="shared" si="0"/>
        <v>212.47150842235166</v>
      </c>
      <c r="D31" s="19">
        <f t="shared" si="1"/>
        <v>197.3643841516481</v>
      </c>
      <c r="E31" s="19">
        <f t="shared" si="2"/>
        <v>20.635615848351904</v>
      </c>
      <c r="F31">
        <f t="shared" si="3"/>
        <v>425.82864144075228</v>
      </c>
      <c r="H31" t="s">
        <v>17</v>
      </c>
    </row>
    <row r="32" spans="1:8">
      <c r="A32" s="14">
        <v>27</v>
      </c>
      <c r="B32" s="14">
        <v>185</v>
      </c>
      <c r="C32" s="19">
        <f t="shared" si="0"/>
        <v>192.35989679466707</v>
      </c>
      <c r="D32" s="19">
        <f t="shared" si="1"/>
        <v>212.47150842235166</v>
      </c>
      <c r="E32" s="19">
        <f t="shared" si="2"/>
        <v>-27.471508422351661</v>
      </c>
      <c r="F32">
        <f t="shared" si="3"/>
        <v>754.68377499933831</v>
      </c>
      <c r="H32" t="s">
        <v>18</v>
      </c>
    </row>
    <row r="33" spans="1:8">
      <c r="A33" s="14">
        <v>28</v>
      </c>
      <c r="B33" s="14">
        <v>199</v>
      </c>
      <c r="C33" s="19">
        <f t="shared" si="0"/>
        <v>197.22104874818501</v>
      </c>
      <c r="D33" s="19">
        <f t="shared" si="1"/>
        <v>192.35989679466707</v>
      </c>
      <c r="E33" s="19">
        <f t="shared" si="2"/>
        <v>6.6401032053329345</v>
      </c>
      <c r="F33">
        <f t="shared" si="3"/>
        <v>44.09097057747271</v>
      </c>
      <c r="H33" t="s">
        <v>19</v>
      </c>
    </row>
    <row r="34" spans="1:8">
      <c r="A34" s="14">
        <v>29</v>
      </c>
      <c r="B34" s="14">
        <v>210</v>
      </c>
      <c r="C34" s="19">
        <f t="shared" si="0"/>
        <v>206.57638885672122</v>
      </c>
      <c r="D34" s="19">
        <f t="shared" si="1"/>
        <v>197.22104874818501</v>
      </c>
      <c r="E34" s="19">
        <f t="shared" si="2"/>
        <v>12.778951251814988</v>
      </c>
      <c r="F34">
        <f t="shared" si="3"/>
        <v>163.30159509626384</v>
      </c>
      <c r="H34" t="s">
        <v>20</v>
      </c>
    </row>
    <row r="35" spans="1:8">
      <c r="A35" s="14">
        <v>30</v>
      </c>
      <c r="B35" s="14">
        <v>193</v>
      </c>
      <c r="C35" s="19">
        <f t="shared" si="0"/>
        <v>196.63725279637131</v>
      </c>
      <c r="D35" s="19">
        <f t="shared" si="1"/>
        <v>206.57638885672122</v>
      </c>
      <c r="E35" s="19">
        <f t="shared" si="2"/>
        <v>-13.576388856721223</v>
      </c>
      <c r="F35">
        <f t="shared" si="3"/>
        <v>184.31833438890422</v>
      </c>
      <c r="H35" t="s">
        <v>21</v>
      </c>
    </row>
    <row r="36" spans="1:8">
      <c r="A36" s="14">
        <v>31</v>
      </c>
      <c r="B36" s="14">
        <v>211</v>
      </c>
      <c r="C36" s="19">
        <f t="shared" si="0"/>
        <v>207.15207379655234</v>
      </c>
      <c r="D36" s="19">
        <f t="shared" si="1"/>
        <v>196.63725279637131</v>
      </c>
      <c r="E36" s="19">
        <f t="shared" si="2"/>
        <v>14.362747203628686</v>
      </c>
      <c r="F36">
        <f t="shared" si="3"/>
        <v>206.28850723534364</v>
      </c>
      <c r="H36" t="s">
        <v>22</v>
      </c>
    </row>
    <row r="37" spans="1:8">
      <c r="A37" s="14">
        <v>32</v>
      </c>
      <c r="B37" s="14">
        <v>208</v>
      </c>
      <c r="C37" s="19">
        <f t="shared" si="0"/>
        <v>207.77283193733217</v>
      </c>
      <c r="D37" s="19">
        <f t="shared" si="1"/>
        <v>207.15207379655234</v>
      </c>
      <c r="E37" s="19">
        <f t="shared" si="2"/>
        <v>0.84792620344765623</v>
      </c>
      <c r="F37">
        <f t="shared" si="3"/>
        <v>0.71897884649315613</v>
      </c>
    </row>
    <row r="38" spans="1:8">
      <c r="A38" s="14">
        <v>33</v>
      </c>
      <c r="B38" s="14">
        <v>216</v>
      </c>
      <c r="C38" s="19">
        <f t="shared" si="0"/>
        <v>213.79585791494617</v>
      </c>
      <c r="D38" s="19">
        <f t="shared" si="1"/>
        <v>207.77283193733217</v>
      </c>
      <c r="E38" s="19">
        <f t="shared" si="2"/>
        <v>8.227168062667829</v>
      </c>
      <c r="F38">
        <f t="shared" si="3"/>
        <v>67.686294331381518</v>
      </c>
    </row>
    <row r="39" spans="1:8">
      <c r="A39" s="14">
        <v>34</v>
      </c>
      <c r="B39" s="14">
        <v>218</v>
      </c>
      <c r="C39" s="19">
        <f t="shared" si="0"/>
        <v>216.87366753290704</v>
      </c>
      <c r="D39" s="19">
        <f t="shared" si="1"/>
        <v>213.79585791494617</v>
      </c>
      <c r="E39" s="19">
        <f t="shared" si="2"/>
        <v>4.2041420850538316</v>
      </c>
      <c r="F39">
        <f t="shared" si="3"/>
        <v>17.674810671320778</v>
      </c>
    </row>
    <row r="40" spans="1:8">
      <c r="A40" s="14">
        <v>35</v>
      </c>
      <c r="B40" s="14">
        <v>264</v>
      </c>
      <c r="C40" s="19">
        <f t="shared" si="0"/>
        <v>251.37437573734508</v>
      </c>
      <c r="D40" s="19">
        <f t="shared" si="1"/>
        <v>216.87366753290704</v>
      </c>
      <c r="E40" s="19">
        <f t="shared" si="2"/>
        <v>47.126332467092965</v>
      </c>
      <c r="F40">
        <f t="shared" si="3"/>
        <v>2220.8912117989803</v>
      </c>
    </row>
    <row r="41" spans="1:8">
      <c r="A41" s="14">
        <v>36</v>
      </c>
      <c r="B41" s="14">
        <v>304</v>
      </c>
      <c r="C41" s="19">
        <f t="shared" si="0"/>
        <v>289.90105947684572</v>
      </c>
      <c r="D41" s="19">
        <f t="shared" si="1"/>
        <v>251.37437573734508</v>
      </c>
      <c r="E41" s="19">
        <f t="shared" si="2"/>
        <v>52.625624262654924</v>
      </c>
      <c r="F41">
        <f t="shared" si="3"/>
        <v>2769.4563290341348</v>
      </c>
    </row>
    <row r="42" spans="1:8">
      <c r="A42" s="14">
        <v>37</v>
      </c>
      <c r="B42" s="19">
        <f>C$41</f>
        <v>289.90105947684572</v>
      </c>
      <c r="C42" s="19"/>
      <c r="D42" s="19"/>
      <c r="E42" s="19"/>
    </row>
    <row r="43" spans="1:8">
      <c r="A43" s="14">
        <v>38</v>
      </c>
      <c r="B43" s="19">
        <f t="shared" ref="B43:B53" si="4">C$41</f>
        <v>289.90105947684572</v>
      </c>
      <c r="C43" s="19"/>
      <c r="D43" s="19"/>
      <c r="E43" s="19"/>
    </row>
    <row r="44" spans="1:8">
      <c r="A44" s="14">
        <v>39</v>
      </c>
      <c r="B44" s="19">
        <f t="shared" si="4"/>
        <v>289.90105947684572</v>
      </c>
      <c r="C44" s="19"/>
      <c r="D44" s="19"/>
      <c r="E44" s="19"/>
    </row>
    <row r="45" spans="1:8">
      <c r="A45" s="14">
        <v>40</v>
      </c>
      <c r="B45" s="19">
        <f t="shared" si="4"/>
        <v>289.90105947684572</v>
      </c>
      <c r="C45" s="19"/>
      <c r="D45" s="19"/>
      <c r="E45" s="19"/>
    </row>
    <row r="46" spans="1:8">
      <c r="A46" s="14">
        <v>41</v>
      </c>
      <c r="B46" s="19">
        <f t="shared" si="4"/>
        <v>289.90105947684572</v>
      </c>
      <c r="C46" s="19"/>
      <c r="D46" s="19"/>
      <c r="E46" s="19"/>
    </row>
    <row r="47" spans="1:8">
      <c r="A47" s="14">
        <v>42</v>
      </c>
      <c r="B47" s="19">
        <f t="shared" si="4"/>
        <v>289.90105947684572</v>
      </c>
      <c r="C47" s="19"/>
      <c r="D47" s="19"/>
      <c r="E47" s="19"/>
    </row>
    <row r="48" spans="1:8">
      <c r="A48" s="14">
        <v>43</v>
      </c>
      <c r="B48" s="19">
        <f t="shared" si="4"/>
        <v>289.90105947684572</v>
      </c>
      <c r="C48" s="19"/>
      <c r="D48" s="19"/>
      <c r="E48" s="19"/>
    </row>
    <row r="49" spans="1:5">
      <c r="A49" s="14">
        <v>44</v>
      </c>
      <c r="B49" s="19">
        <f t="shared" si="4"/>
        <v>289.90105947684572</v>
      </c>
      <c r="C49" s="19"/>
      <c r="D49" s="19"/>
      <c r="E49" s="19"/>
    </row>
    <row r="50" spans="1:5">
      <c r="A50" s="14">
        <v>45</v>
      </c>
      <c r="B50" s="19">
        <f t="shared" si="4"/>
        <v>289.90105947684572</v>
      </c>
      <c r="C50" s="19"/>
      <c r="D50" s="19"/>
      <c r="E50" s="19"/>
    </row>
    <row r="51" spans="1:5">
      <c r="A51" s="14">
        <v>46</v>
      </c>
      <c r="B51" s="19">
        <f t="shared" si="4"/>
        <v>289.90105947684572</v>
      </c>
      <c r="C51" s="19"/>
      <c r="D51" s="19"/>
      <c r="E51" s="19"/>
    </row>
    <row r="52" spans="1:5">
      <c r="A52" s="14">
        <v>47</v>
      </c>
      <c r="B52" s="19">
        <f t="shared" si="4"/>
        <v>289.90105947684572</v>
      </c>
      <c r="C52" s="19"/>
      <c r="D52" s="19"/>
      <c r="E52" s="19"/>
    </row>
    <row r="53" spans="1:5">
      <c r="A53" s="14">
        <v>48</v>
      </c>
      <c r="B53" s="19">
        <f t="shared" si="4"/>
        <v>289.90105947684572</v>
      </c>
      <c r="C53" s="19"/>
      <c r="D53" s="19"/>
      <c r="E53" s="19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3"/>
  <sheetViews>
    <sheetView topLeftCell="A6" workbookViewId="0">
      <selection activeCell="F6" sqref="F6:F41"/>
    </sheetView>
  </sheetViews>
  <sheetFormatPr baseColWidth="10" defaultRowHeight="15" x14ac:dyDescent="0"/>
  <cols>
    <col min="1" max="1" width="12.1640625" bestFit="1" customWidth="1"/>
    <col min="3" max="3" width="13.1640625" bestFit="1" customWidth="1"/>
    <col min="4" max="4" width="13.83203125" bestFit="1" customWidth="1"/>
  </cols>
  <sheetData>
    <row r="1" spans="1:9">
      <c r="A1" t="s">
        <v>2</v>
      </c>
      <c r="C1" t="s">
        <v>24</v>
      </c>
      <c r="D1" t="s">
        <v>25</v>
      </c>
      <c r="F1" t="s">
        <v>6</v>
      </c>
      <c r="G1" t="s">
        <v>7</v>
      </c>
    </row>
    <row r="2" spans="1:9">
      <c r="A2">
        <v>36</v>
      </c>
      <c r="C2">
        <v>0.65909975628975725</v>
      </c>
      <c r="D2">
        <v>5.3117219484681594E-2</v>
      </c>
      <c r="F2">
        <f>SUM(G6:G41)</f>
        <v>14097.280825538186</v>
      </c>
      <c r="G2">
        <f>SQRT(F2/(36-2))</f>
        <v>20.362364956789182</v>
      </c>
    </row>
    <row r="4" spans="1:9" ht="29" customHeight="1">
      <c r="A4" s="13" t="s">
        <v>1</v>
      </c>
      <c r="B4" s="21" t="s">
        <v>26</v>
      </c>
      <c r="C4" s="15" t="s">
        <v>3</v>
      </c>
      <c r="D4" s="15" t="s">
        <v>23</v>
      </c>
      <c r="E4" s="15" t="s">
        <v>27</v>
      </c>
      <c r="F4" s="15" t="s">
        <v>4</v>
      </c>
      <c r="G4" s="15" t="s">
        <v>5</v>
      </c>
    </row>
    <row r="5" spans="1:9">
      <c r="A5" s="16">
        <v>0</v>
      </c>
      <c r="B5" s="17"/>
      <c r="C5" s="18">
        <v>155.88</v>
      </c>
      <c r="D5" s="18">
        <v>0.83689999999999998</v>
      </c>
      <c r="E5" s="18"/>
      <c r="F5" s="18"/>
      <c r="G5" s="18"/>
      <c r="H5" s="18"/>
      <c r="I5" s="18"/>
    </row>
    <row r="6" spans="1:9">
      <c r="A6" s="14">
        <v>1</v>
      </c>
      <c r="B6" s="14">
        <v>165</v>
      </c>
      <c r="C6">
        <f>C5+D5+C$2*F6</f>
        <v>162.17628919132369</v>
      </c>
      <c r="D6">
        <f>D5+D$2*C$2*F6</f>
        <v>1.1268875739278383</v>
      </c>
      <c r="E6">
        <f>C5+D5</f>
        <v>156.71690000000001</v>
      </c>
      <c r="F6">
        <f>B6-E6</f>
        <v>8.2830999999999904</v>
      </c>
      <c r="G6">
        <f>F6^2</f>
        <v>68.609745609999834</v>
      </c>
    </row>
    <row r="7" spans="1:9">
      <c r="A7" s="14">
        <v>2</v>
      </c>
      <c r="B7" s="14">
        <v>171</v>
      </c>
      <c r="C7">
        <f t="shared" ref="C7:C41" si="0">C6+D6+C$2*F7</f>
        <v>168.37615108347958</v>
      </c>
      <c r="D7">
        <f t="shared" ref="D7:D41" si="1">D6+D$2*C$2*F7</f>
        <v>1.3963498642293113</v>
      </c>
      <c r="E7">
        <f t="shared" ref="E7:E41" si="2">C6+D6</f>
        <v>163.30317676525152</v>
      </c>
      <c r="F7">
        <f t="shared" ref="F7:F41" si="3">B7-E7</f>
        <v>7.6968232347484786</v>
      </c>
      <c r="G7">
        <f t="shared" ref="G7:G41" si="4">F7^2</f>
        <v>59.241087906964033</v>
      </c>
    </row>
    <row r="8" spans="1:9">
      <c r="A8" s="14">
        <v>3</v>
      </c>
      <c r="B8" s="14">
        <v>147</v>
      </c>
      <c r="C8">
        <f t="shared" si="0"/>
        <v>154.7631511229657</v>
      </c>
      <c r="D8">
        <f t="shared" si="1"/>
        <v>0.59909493526605972</v>
      </c>
      <c r="E8">
        <f t="shared" si="2"/>
        <v>169.77250094770889</v>
      </c>
      <c r="F8">
        <f t="shared" si="3"/>
        <v>-22.772500947708892</v>
      </c>
      <c r="G8">
        <f t="shared" si="4"/>
        <v>518.58679941340233</v>
      </c>
    </row>
    <row r="9" spans="1:9">
      <c r="A9" s="14">
        <v>4</v>
      </c>
      <c r="B9" s="14">
        <v>143</v>
      </c>
      <c r="C9">
        <f t="shared" si="0"/>
        <v>147.21429269405721</v>
      </c>
      <c r="D9">
        <f t="shared" si="1"/>
        <v>0.16629830807024953</v>
      </c>
      <c r="E9">
        <f t="shared" si="2"/>
        <v>155.36224605823176</v>
      </c>
      <c r="F9">
        <f t="shared" si="3"/>
        <v>-12.362246058231761</v>
      </c>
      <c r="G9">
        <f t="shared" si="4"/>
        <v>152.82512760426673</v>
      </c>
    </row>
    <row r="10" spans="1:9">
      <c r="A10" s="14">
        <v>5</v>
      </c>
      <c r="B10" s="14">
        <v>164</v>
      </c>
      <c r="C10">
        <f t="shared" si="0"/>
        <v>158.33443942230505</v>
      </c>
      <c r="D10">
        <f t="shared" si="1"/>
        <v>0.74813627880675537</v>
      </c>
      <c r="E10">
        <f t="shared" si="2"/>
        <v>147.38059100212746</v>
      </c>
      <c r="F10">
        <f t="shared" si="3"/>
        <v>16.61940899787254</v>
      </c>
      <c r="G10">
        <f t="shared" si="4"/>
        <v>276.20475543856674</v>
      </c>
    </row>
    <row r="11" spans="1:9">
      <c r="A11" s="14">
        <v>6</v>
      </c>
      <c r="B11" s="14">
        <v>160</v>
      </c>
      <c r="C11">
        <f t="shared" si="0"/>
        <v>159.68724983292333</v>
      </c>
      <c r="D11">
        <f t="shared" si="1"/>
        <v>0.78025488738289661</v>
      </c>
      <c r="E11">
        <f t="shared" si="2"/>
        <v>159.08257570111181</v>
      </c>
      <c r="F11">
        <f t="shared" si="3"/>
        <v>0.91742429888819288</v>
      </c>
      <c r="G11">
        <f t="shared" si="4"/>
        <v>0.84166734419049227</v>
      </c>
    </row>
    <row r="12" spans="1:9">
      <c r="A12" s="14">
        <v>7</v>
      </c>
      <c r="B12" s="14">
        <v>152</v>
      </c>
      <c r="C12">
        <f t="shared" si="0"/>
        <v>154.88657442277002</v>
      </c>
      <c r="D12">
        <f t="shared" si="1"/>
        <v>0.48381138783995636</v>
      </c>
      <c r="E12">
        <f t="shared" si="2"/>
        <v>160.46750472030624</v>
      </c>
      <c r="F12">
        <f t="shared" si="3"/>
        <v>-8.4675047203062377</v>
      </c>
      <c r="G12">
        <f t="shared" si="4"/>
        <v>71.698636188408415</v>
      </c>
    </row>
    <row r="13" spans="1:9">
      <c r="A13" s="14">
        <v>8</v>
      </c>
      <c r="B13" s="14">
        <v>150</v>
      </c>
      <c r="C13">
        <f t="shared" si="0"/>
        <v>151.83076583165496</v>
      </c>
      <c r="D13">
        <f t="shared" si="1"/>
        <v>0.29579661652543932</v>
      </c>
      <c r="E13">
        <f t="shared" si="2"/>
        <v>155.37038581060997</v>
      </c>
      <c r="F13">
        <f t="shared" si="3"/>
        <v>-5.3703858106099744</v>
      </c>
      <c r="G13">
        <f t="shared" si="4"/>
        <v>28.841043754800953</v>
      </c>
    </row>
    <row r="14" spans="1:9">
      <c r="A14" s="14">
        <v>9</v>
      </c>
      <c r="B14" s="14">
        <v>159</v>
      </c>
      <c r="C14">
        <f t="shared" si="0"/>
        <v>156.65684346345756</v>
      </c>
      <c r="D14">
        <f t="shared" si="1"/>
        <v>0.53643254754120229</v>
      </c>
      <c r="E14">
        <f t="shared" si="2"/>
        <v>152.12656244818041</v>
      </c>
      <c r="F14">
        <f t="shared" si="3"/>
        <v>6.8734375518195918</v>
      </c>
      <c r="G14">
        <f t="shared" si="4"/>
        <v>47.244143778763707</v>
      </c>
    </row>
    <row r="15" spans="1:9">
      <c r="A15" s="14">
        <v>10</v>
      </c>
      <c r="B15" s="14">
        <v>169</v>
      </c>
      <c r="C15">
        <f t="shared" si="0"/>
        <v>164.9750849147299</v>
      </c>
      <c r="D15">
        <f t="shared" si="1"/>
        <v>0.94978059906853862</v>
      </c>
      <c r="E15">
        <f t="shared" si="2"/>
        <v>157.19327601099877</v>
      </c>
      <c r="F15">
        <f t="shared" si="3"/>
        <v>11.806723989001227</v>
      </c>
      <c r="G15">
        <f t="shared" si="4"/>
        <v>139.39873135245705</v>
      </c>
    </row>
    <row r="16" spans="1:9">
      <c r="A16" s="14">
        <v>11</v>
      </c>
      <c r="B16" s="14">
        <v>173</v>
      </c>
      <c r="C16">
        <f t="shared" si="0"/>
        <v>170.58808492937115</v>
      </c>
      <c r="D16">
        <f t="shared" si="1"/>
        <v>1.1974778482707427</v>
      </c>
      <c r="E16">
        <f t="shared" si="2"/>
        <v>165.92486551379844</v>
      </c>
      <c r="F16">
        <f t="shared" si="3"/>
        <v>7.0751344862015628</v>
      </c>
      <c r="G16">
        <f t="shared" si="4"/>
        <v>50.057527997838655</v>
      </c>
    </row>
    <row r="17" spans="1:7">
      <c r="A17" s="14">
        <v>12</v>
      </c>
      <c r="B17" s="14">
        <v>203</v>
      </c>
      <c r="C17">
        <f t="shared" si="0"/>
        <v>192.35899074362004</v>
      </c>
      <c r="D17">
        <f t="shared" si="1"/>
        <v>2.2902811370918905</v>
      </c>
      <c r="E17">
        <f t="shared" si="2"/>
        <v>171.7855627776419</v>
      </c>
      <c r="F17">
        <f t="shared" si="3"/>
        <v>31.2144372223581</v>
      </c>
      <c r="G17">
        <f t="shared" si="4"/>
        <v>974.3410911085349</v>
      </c>
    </row>
    <row r="18" spans="1:7">
      <c r="A18" s="14">
        <v>13</v>
      </c>
      <c r="B18" s="14">
        <v>169</v>
      </c>
      <c r="C18">
        <f t="shared" si="0"/>
        <v>177.74384303512497</v>
      </c>
      <c r="D18">
        <f t="shared" si="1"/>
        <v>1.3923117626181809</v>
      </c>
      <c r="E18">
        <f t="shared" si="2"/>
        <v>194.64927188071192</v>
      </c>
      <c r="F18">
        <f t="shared" si="3"/>
        <v>-25.649271880711922</v>
      </c>
      <c r="G18">
        <f t="shared" si="4"/>
        <v>657.88514801067925</v>
      </c>
    </row>
    <row r="19" spans="1:7">
      <c r="A19" s="14">
        <v>14</v>
      </c>
      <c r="B19" s="14">
        <v>166</v>
      </c>
      <c r="C19">
        <f t="shared" si="0"/>
        <v>170.4781183719661</v>
      </c>
      <c r="D19">
        <f t="shared" si="1"/>
        <v>0.9324209414838136</v>
      </c>
      <c r="E19">
        <f t="shared" si="2"/>
        <v>179.13615479774316</v>
      </c>
      <c r="F19">
        <f t="shared" si="3"/>
        <v>-13.13615479774316</v>
      </c>
      <c r="G19">
        <f t="shared" si="4"/>
        <v>172.55856287027063</v>
      </c>
    </row>
    <row r="20" spans="1:7">
      <c r="A20" s="14">
        <v>15</v>
      </c>
      <c r="B20" s="14">
        <v>162</v>
      </c>
      <c r="C20">
        <f t="shared" si="0"/>
        <v>165.2080551453999</v>
      </c>
      <c r="D20">
        <f t="shared" si="1"/>
        <v>0.60296222857923754</v>
      </c>
      <c r="E20">
        <f t="shared" si="2"/>
        <v>171.41053931344993</v>
      </c>
      <c r="F20">
        <f t="shared" si="3"/>
        <v>-9.4105393134499309</v>
      </c>
      <c r="G20">
        <f t="shared" si="4"/>
        <v>88.558250169986692</v>
      </c>
    </row>
    <row r="21" spans="1:7">
      <c r="A21" s="14">
        <v>16</v>
      </c>
      <c r="B21" s="14">
        <v>147</v>
      </c>
      <c r="C21">
        <f t="shared" si="0"/>
        <v>153.4126804072271</v>
      </c>
      <c r="D21">
        <f t="shared" si="1"/>
        <v>-5.5602957328771518E-2</v>
      </c>
      <c r="E21">
        <f t="shared" si="2"/>
        <v>165.81101737397913</v>
      </c>
      <c r="F21">
        <f t="shared" si="3"/>
        <v>-18.811017373979126</v>
      </c>
      <c r="G21">
        <f t="shared" si="4"/>
        <v>353.85437464414457</v>
      </c>
    </row>
    <row r="22" spans="1:7">
      <c r="A22" s="14">
        <v>17</v>
      </c>
      <c r="B22" s="14">
        <v>188</v>
      </c>
      <c r="C22">
        <f t="shared" si="0"/>
        <v>176.19021925983526</v>
      </c>
      <c r="D22">
        <f t="shared" si="1"/>
        <v>1.1572300477145092</v>
      </c>
      <c r="E22">
        <f t="shared" si="2"/>
        <v>153.35707744989833</v>
      </c>
      <c r="F22">
        <f t="shared" si="3"/>
        <v>34.642922550101673</v>
      </c>
      <c r="G22">
        <f t="shared" si="4"/>
        <v>1200.132082812343</v>
      </c>
    </row>
    <row r="23" spans="1:7">
      <c r="A23" s="14">
        <v>18</v>
      </c>
      <c r="B23" s="14">
        <v>161</v>
      </c>
      <c r="C23">
        <f t="shared" si="0"/>
        <v>166.57284945298454</v>
      </c>
      <c r="D23">
        <f t="shared" si="1"/>
        <v>0.58491326237995045</v>
      </c>
      <c r="E23">
        <f t="shared" si="2"/>
        <v>177.34744930754977</v>
      </c>
      <c r="F23">
        <f t="shared" si="3"/>
        <v>-16.347449307549766</v>
      </c>
      <c r="G23">
        <f t="shared" si="4"/>
        <v>267.23909886290932</v>
      </c>
    </row>
    <row r="24" spans="1:7">
      <c r="A24" s="14">
        <v>19</v>
      </c>
      <c r="B24" s="14">
        <v>162</v>
      </c>
      <c r="C24">
        <f t="shared" si="0"/>
        <v>163.75828256666736</v>
      </c>
      <c r="D24">
        <f t="shared" si="1"/>
        <v>0.40434232918778656</v>
      </c>
      <c r="E24">
        <f t="shared" si="2"/>
        <v>167.1577627153645</v>
      </c>
      <c r="F24">
        <f t="shared" si="3"/>
        <v>-5.1577627153644983</v>
      </c>
      <c r="G24">
        <f t="shared" si="4"/>
        <v>26.602516228004163</v>
      </c>
    </row>
    <row r="25" spans="1:7">
      <c r="A25" s="14">
        <v>20</v>
      </c>
      <c r="B25" s="14">
        <v>169</v>
      </c>
      <c r="C25">
        <f t="shared" si="0"/>
        <v>167.35093764807917</v>
      </c>
      <c r="D25">
        <f t="shared" si="1"/>
        <v>0.57369663743347865</v>
      </c>
      <c r="E25">
        <f t="shared" si="2"/>
        <v>164.16262489585515</v>
      </c>
      <c r="F25">
        <f t="shared" si="3"/>
        <v>4.8373751041448543</v>
      </c>
      <c r="G25">
        <f t="shared" si="4"/>
        <v>23.400197898200439</v>
      </c>
    </row>
    <row r="26" spans="1:7">
      <c r="A26" s="14">
        <v>21</v>
      </c>
      <c r="B26" s="14">
        <v>185</v>
      </c>
      <c r="C26">
        <f t="shared" si="0"/>
        <v>179.17900366648973</v>
      </c>
      <c r="D26">
        <f t="shared" si="1"/>
        <v>1.1714974460045191</v>
      </c>
      <c r="E26">
        <f t="shared" si="2"/>
        <v>167.92463428551264</v>
      </c>
      <c r="F26">
        <f t="shared" si="3"/>
        <v>17.075365714487361</v>
      </c>
      <c r="G26">
        <f t="shared" si="4"/>
        <v>291.5681142834905</v>
      </c>
    </row>
    <row r="27" spans="1:7">
      <c r="A27" s="14">
        <v>22</v>
      </c>
      <c r="B27" s="14">
        <v>188</v>
      </c>
      <c r="C27">
        <f t="shared" si="0"/>
        <v>185.39228396498805</v>
      </c>
      <c r="D27">
        <f t="shared" si="1"/>
        <v>1.439302932374537</v>
      </c>
      <c r="E27">
        <f t="shared" si="2"/>
        <v>180.35050111249424</v>
      </c>
      <c r="F27">
        <f t="shared" si="3"/>
        <v>7.6494988875057572</v>
      </c>
      <c r="G27">
        <f t="shared" si="4"/>
        <v>58.514833229951819</v>
      </c>
    </row>
    <row r="28" spans="1:7">
      <c r="A28" s="14">
        <v>23</v>
      </c>
      <c r="B28" s="14">
        <v>200</v>
      </c>
      <c r="C28">
        <f t="shared" si="0"/>
        <v>195.51088476403376</v>
      </c>
      <c r="D28">
        <f t="shared" si="1"/>
        <v>1.9003231021314377</v>
      </c>
      <c r="E28">
        <f t="shared" si="2"/>
        <v>186.8315868973626</v>
      </c>
      <c r="F28">
        <f t="shared" si="3"/>
        <v>13.168413102637402</v>
      </c>
      <c r="G28">
        <f t="shared" si="4"/>
        <v>173.40710364171241</v>
      </c>
    </row>
    <row r="29" spans="1:7">
      <c r="A29" s="14">
        <v>24</v>
      </c>
      <c r="B29" s="14">
        <v>229</v>
      </c>
      <c r="C29">
        <f t="shared" si="0"/>
        <v>218.23137306306353</v>
      </c>
      <c r="D29">
        <f t="shared" si="1"/>
        <v>3.0062323866024148</v>
      </c>
      <c r="E29">
        <f t="shared" si="2"/>
        <v>197.4112078661652</v>
      </c>
      <c r="F29">
        <f t="shared" si="3"/>
        <v>31.588792133834801</v>
      </c>
      <c r="G29">
        <f t="shared" si="4"/>
        <v>997.85178847462339</v>
      </c>
    </row>
    <row r="30" spans="1:7">
      <c r="A30" s="14">
        <v>25</v>
      </c>
      <c r="B30" s="14">
        <v>189</v>
      </c>
      <c r="C30">
        <f t="shared" si="0"/>
        <v>199.98980755442577</v>
      </c>
      <c r="D30">
        <f t="shared" si="1"/>
        <v>1.8776084422347867</v>
      </c>
      <c r="E30">
        <f t="shared" si="2"/>
        <v>221.23760544966595</v>
      </c>
      <c r="F30">
        <f t="shared" si="3"/>
        <v>-32.237605449665949</v>
      </c>
      <c r="G30">
        <f t="shared" si="4"/>
        <v>1039.2632051283317</v>
      </c>
    </row>
    <row r="31" spans="1:7">
      <c r="A31" s="14">
        <v>26</v>
      </c>
      <c r="B31" s="14">
        <v>218</v>
      </c>
      <c r="C31">
        <f t="shared" si="0"/>
        <v>212.50039818158561</v>
      </c>
      <c r="D31">
        <f t="shared" si="1"/>
        <v>2.4424028907281605</v>
      </c>
      <c r="E31">
        <f t="shared" si="2"/>
        <v>201.86741599666055</v>
      </c>
      <c r="F31">
        <f t="shared" si="3"/>
        <v>16.132584003339446</v>
      </c>
      <c r="G31">
        <f t="shared" si="4"/>
        <v>260.26026662480376</v>
      </c>
    </row>
    <row r="32" spans="1:7">
      <c r="A32" s="14">
        <v>27</v>
      </c>
      <c r="B32" s="14">
        <v>185</v>
      </c>
      <c r="C32">
        <f t="shared" si="0"/>
        <v>195.20750818291907</v>
      </c>
      <c r="D32">
        <f t="shared" si="1"/>
        <v>1.3941190067277074</v>
      </c>
      <c r="E32">
        <f t="shared" si="2"/>
        <v>214.94280107231376</v>
      </c>
      <c r="F32">
        <f t="shared" si="3"/>
        <v>-29.942801072313756</v>
      </c>
      <c r="G32">
        <f t="shared" si="4"/>
        <v>896.57133605615377</v>
      </c>
    </row>
    <row r="33" spans="1:7">
      <c r="A33" s="14">
        <v>28</v>
      </c>
      <c r="B33" s="14">
        <v>199</v>
      </c>
      <c r="C33">
        <f t="shared" si="0"/>
        <v>198.18239412444257</v>
      </c>
      <c r="D33">
        <f t="shared" si="1"/>
        <v>1.4780849509573821</v>
      </c>
      <c r="E33">
        <f t="shared" si="2"/>
        <v>196.60162718964679</v>
      </c>
      <c r="F33">
        <f t="shared" si="3"/>
        <v>2.3983728103532087</v>
      </c>
      <c r="G33">
        <f t="shared" si="4"/>
        <v>5.7521921374415488</v>
      </c>
    </row>
    <row r="34" spans="1:7">
      <c r="A34" s="14">
        <v>29</v>
      </c>
      <c r="B34" s="14">
        <v>210</v>
      </c>
      <c r="C34">
        <f t="shared" si="0"/>
        <v>206.4752547969567</v>
      </c>
      <c r="D34">
        <f t="shared" si="1"/>
        <v>1.8400668886981904</v>
      </c>
      <c r="E34">
        <f t="shared" si="2"/>
        <v>199.66047907539996</v>
      </c>
      <c r="F34">
        <f t="shared" si="3"/>
        <v>10.339520924600038</v>
      </c>
      <c r="G34">
        <f t="shared" si="4"/>
        <v>106.90569295024201</v>
      </c>
    </row>
    <row r="35" spans="1:7">
      <c r="A35" s="14">
        <v>30</v>
      </c>
      <c r="B35" s="14">
        <v>193</v>
      </c>
      <c r="C35">
        <f t="shared" si="0"/>
        <v>198.22099689514053</v>
      </c>
      <c r="D35">
        <f t="shared" si="1"/>
        <v>1.3038844232507754</v>
      </c>
      <c r="E35">
        <f t="shared" si="2"/>
        <v>208.31532168565491</v>
      </c>
      <c r="F35">
        <f t="shared" si="3"/>
        <v>-15.315321685654908</v>
      </c>
      <c r="G35">
        <f t="shared" si="4"/>
        <v>234.5590783350915</v>
      </c>
    </row>
    <row r="36" spans="1:7">
      <c r="A36" s="14">
        <v>31</v>
      </c>
      <c r="B36" s="14">
        <v>211</v>
      </c>
      <c r="C36">
        <f t="shared" si="0"/>
        <v>207.08812924483564</v>
      </c>
      <c r="D36">
        <f t="shared" si="1"/>
        <v>1.7056231233767822</v>
      </c>
      <c r="E36">
        <f t="shared" si="2"/>
        <v>199.52488131839129</v>
      </c>
      <c r="F36">
        <f t="shared" si="3"/>
        <v>11.475118681608706</v>
      </c>
      <c r="G36">
        <f t="shared" si="4"/>
        <v>131.67834875700512</v>
      </c>
    </row>
    <row r="37" spans="1:7">
      <c r="A37" s="14">
        <v>32</v>
      </c>
      <c r="B37" s="14">
        <v>208</v>
      </c>
      <c r="C37">
        <f t="shared" si="0"/>
        <v>208.27059037576919</v>
      </c>
      <c r="D37">
        <f t="shared" si="1"/>
        <v>1.6778342129981316</v>
      </c>
      <c r="E37">
        <f t="shared" si="2"/>
        <v>208.79375236821244</v>
      </c>
      <c r="F37">
        <f t="shared" si="3"/>
        <v>-0.79375236821243789</v>
      </c>
      <c r="G37">
        <f t="shared" si="4"/>
        <v>0.63004282204285356</v>
      </c>
    </row>
    <row r="38" spans="1:7">
      <c r="A38" s="14">
        <v>33</v>
      </c>
      <c r="B38" s="14">
        <v>216</v>
      </c>
      <c r="C38">
        <f t="shared" si="0"/>
        <v>213.93701646747988</v>
      </c>
      <c r="D38">
        <f t="shared" si="1"/>
        <v>1.8896971232545243</v>
      </c>
      <c r="E38">
        <f t="shared" si="2"/>
        <v>209.94842458876732</v>
      </c>
      <c r="F38">
        <f t="shared" si="3"/>
        <v>6.0515754112326761</v>
      </c>
      <c r="G38">
        <f t="shared" si="4"/>
        <v>36.621564957835929</v>
      </c>
    </row>
    <row r="39" spans="1:7">
      <c r="A39" s="14">
        <v>34</v>
      </c>
      <c r="B39" s="14">
        <v>218</v>
      </c>
      <c r="C39">
        <f t="shared" si="0"/>
        <v>217.25912613342919</v>
      </c>
      <c r="D39">
        <f t="shared" si="1"/>
        <v>1.9657828946774543</v>
      </c>
      <c r="E39">
        <f t="shared" si="2"/>
        <v>215.82671359073441</v>
      </c>
      <c r="F39">
        <f t="shared" si="3"/>
        <v>2.1732864092655859</v>
      </c>
      <c r="G39">
        <f t="shared" si="4"/>
        <v>4.7231738166985036</v>
      </c>
    </row>
    <row r="40" spans="1:7">
      <c r="A40" s="14">
        <v>35</v>
      </c>
      <c r="B40" s="14">
        <v>264</v>
      </c>
      <c r="C40">
        <f t="shared" si="0"/>
        <v>248.73616057553326</v>
      </c>
      <c r="D40">
        <f t="shared" si="1"/>
        <v>3.5333385203897629</v>
      </c>
      <c r="E40">
        <f t="shared" si="2"/>
        <v>219.22490902810665</v>
      </c>
      <c r="F40">
        <f t="shared" si="3"/>
        <v>44.775090971893349</v>
      </c>
      <c r="G40">
        <f t="shared" si="4"/>
        <v>2004.8087715413253</v>
      </c>
    </row>
    <row r="41" spans="1:7">
      <c r="A41" s="14">
        <v>36</v>
      </c>
      <c r="B41" s="14">
        <v>304</v>
      </c>
      <c r="C41">
        <f t="shared" si="0"/>
        <v>286.36505963454721</v>
      </c>
      <c r="D41">
        <f t="shared" si="1"/>
        <v>5.3443998929731125</v>
      </c>
      <c r="E41">
        <f t="shared" si="2"/>
        <v>252.26949909592304</v>
      </c>
      <c r="F41">
        <f t="shared" si="3"/>
        <v>51.730500904076962</v>
      </c>
      <c r="G41">
        <f t="shared" si="4"/>
        <v>2676.0447237867074</v>
      </c>
    </row>
    <row r="42" spans="1:7">
      <c r="A42" s="22">
        <v>37</v>
      </c>
      <c r="B42">
        <f>C$41+(A42-A$41)*D$41</f>
        <v>291.70945952752032</v>
      </c>
    </row>
    <row r="43" spans="1:7">
      <c r="A43" s="22">
        <v>38</v>
      </c>
      <c r="B43">
        <f t="shared" ref="B43:B53" si="5">C$41+(A43-A$41)*D$41</f>
        <v>297.05385942049344</v>
      </c>
    </row>
    <row r="44" spans="1:7">
      <c r="A44" s="22">
        <v>39</v>
      </c>
      <c r="B44">
        <f t="shared" si="5"/>
        <v>302.39825931346655</v>
      </c>
    </row>
    <row r="45" spans="1:7">
      <c r="A45" s="22">
        <v>40</v>
      </c>
      <c r="B45">
        <f t="shared" si="5"/>
        <v>307.74265920643967</v>
      </c>
    </row>
    <row r="46" spans="1:7">
      <c r="A46" s="22">
        <v>41</v>
      </c>
      <c r="B46">
        <f t="shared" si="5"/>
        <v>313.08705909941278</v>
      </c>
    </row>
    <row r="47" spans="1:7">
      <c r="A47" s="22">
        <v>42</v>
      </c>
      <c r="B47">
        <f t="shared" si="5"/>
        <v>318.4314589923859</v>
      </c>
    </row>
    <row r="48" spans="1:7">
      <c r="A48" s="22">
        <v>43</v>
      </c>
      <c r="B48">
        <f t="shared" si="5"/>
        <v>323.77585888535901</v>
      </c>
    </row>
    <row r="49" spans="1:2">
      <c r="A49" s="22">
        <v>44</v>
      </c>
      <c r="B49">
        <f t="shared" si="5"/>
        <v>329.12025877833213</v>
      </c>
    </row>
    <row r="50" spans="1:2">
      <c r="A50" s="22">
        <v>45</v>
      </c>
      <c r="B50">
        <f t="shared" si="5"/>
        <v>334.46465867130524</v>
      </c>
    </row>
    <row r="51" spans="1:2">
      <c r="A51" s="22">
        <v>46</v>
      </c>
      <c r="B51">
        <f t="shared" si="5"/>
        <v>339.8090585642783</v>
      </c>
    </row>
    <row r="52" spans="1:2">
      <c r="A52" s="22">
        <v>47</v>
      </c>
      <c r="B52">
        <f t="shared" si="5"/>
        <v>345.15345845725142</v>
      </c>
    </row>
    <row r="53" spans="1:2">
      <c r="A53" s="22">
        <v>48</v>
      </c>
      <c r="B53">
        <f t="shared" si="5"/>
        <v>350.49785835022453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49"/>
  <sheetViews>
    <sheetView tabSelected="1" topLeftCell="H1" workbookViewId="0">
      <pane ySplit="1" topLeftCell="A2" activePane="bottomLeft" state="frozen"/>
      <selection pane="bottomLeft" activeCell="Q10" sqref="Q10"/>
    </sheetView>
  </sheetViews>
  <sheetFormatPr baseColWidth="10" defaultRowHeight="15" x14ac:dyDescent="0"/>
  <cols>
    <col min="2" max="2" width="13.33203125" bestFit="1" customWidth="1"/>
    <col min="3" max="3" width="19.1640625" bestFit="1" customWidth="1"/>
  </cols>
  <sheetData>
    <row r="1" spans="1:17">
      <c r="A1" s="13" t="s">
        <v>1</v>
      </c>
      <c r="B1" t="s">
        <v>28</v>
      </c>
      <c r="C1" t="s">
        <v>29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</row>
    <row r="2" spans="1:17">
      <c r="A2" s="14">
        <v>1</v>
      </c>
      <c r="B2">
        <v>8.2830999999999904</v>
      </c>
      <c r="C2">
        <f>B2-B$38</f>
        <v>4.7066946142091801</v>
      </c>
    </row>
    <row r="3" spans="1:17">
      <c r="A3" s="14">
        <v>2</v>
      </c>
      <c r="B3">
        <v>7.6968232347484786</v>
      </c>
      <c r="C3">
        <f t="shared" ref="C3:C38" si="0">B3-B$38</f>
        <v>4.1204178489576684</v>
      </c>
      <c r="D3">
        <f>C2</f>
        <v>4.7066946142091801</v>
      </c>
      <c r="E3">
        <f t="shared" ref="E3:O18" si="1">D2</f>
        <v>0</v>
      </c>
      <c r="F3">
        <f t="shared" si="1"/>
        <v>0</v>
      </c>
      <c r="G3">
        <f t="shared" si="1"/>
        <v>0</v>
      </c>
      <c r="H3">
        <f t="shared" si="1"/>
        <v>0</v>
      </c>
      <c r="I3">
        <f t="shared" si="1"/>
        <v>0</v>
      </c>
      <c r="J3">
        <f t="shared" si="1"/>
        <v>0</v>
      </c>
      <c r="K3">
        <f t="shared" si="1"/>
        <v>0</v>
      </c>
      <c r="L3">
        <f t="shared" si="1"/>
        <v>0</v>
      </c>
      <c r="M3">
        <f t="shared" si="1"/>
        <v>0</v>
      </c>
      <c r="N3">
        <f t="shared" si="1"/>
        <v>0</v>
      </c>
      <c r="O3">
        <f t="shared" si="1"/>
        <v>0</v>
      </c>
    </row>
    <row r="4" spans="1:17">
      <c r="A4" s="14">
        <v>3</v>
      </c>
      <c r="B4">
        <v>-22.772500947708892</v>
      </c>
      <c r="C4">
        <f t="shared" si="0"/>
        <v>-26.348906333499702</v>
      </c>
      <c r="D4">
        <f t="shared" ref="D4:O38" si="2">C3</f>
        <v>4.1204178489576684</v>
      </c>
      <c r="E4">
        <f t="shared" si="1"/>
        <v>4.7066946142091801</v>
      </c>
      <c r="F4">
        <f t="shared" si="1"/>
        <v>0</v>
      </c>
      <c r="G4">
        <f t="shared" si="1"/>
        <v>0</v>
      </c>
      <c r="H4">
        <f t="shared" si="1"/>
        <v>0</v>
      </c>
      <c r="I4">
        <f t="shared" si="1"/>
        <v>0</v>
      </c>
      <c r="J4">
        <f t="shared" si="1"/>
        <v>0</v>
      </c>
      <c r="K4">
        <f t="shared" si="1"/>
        <v>0</v>
      </c>
      <c r="L4">
        <f t="shared" si="1"/>
        <v>0</v>
      </c>
      <c r="M4">
        <f t="shared" si="1"/>
        <v>0</v>
      </c>
      <c r="N4">
        <f t="shared" si="1"/>
        <v>0</v>
      </c>
      <c r="O4">
        <f t="shared" si="1"/>
        <v>0</v>
      </c>
    </row>
    <row r="5" spans="1:17">
      <c r="A5" s="14">
        <v>4</v>
      </c>
      <c r="B5">
        <v>-12.362246058231761</v>
      </c>
      <c r="C5">
        <f t="shared" si="0"/>
        <v>-15.938651444022572</v>
      </c>
      <c r="D5">
        <f t="shared" si="2"/>
        <v>-26.348906333499702</v>
      </c>
      <c r="E5">
        <f t="shared" si="1"/>
        <v>4.1204178489576684</v>
      </c>
      <c r="F5">
        <f t="shared" si="1"/>
        <v>4.7066946142091801</v>
      </c>
      <c r="G5">
        <f t="shared" si="1"/>
        <v>0</v>
      </c>
      <c r="H5">
        <f t="shared" si="1"/>
        <v>0</v>
      </c>
      <c r="I5">
        <f t="shared" si="1"/>
        <v>0</v>
      </c>
      <c r="J5">
        <f t="shared" si="1"/>
        <v>0</v>
      </c>
      <c r="K5">
        <f t="shared" si="1"/>
        <v>0</v>
      </c>
      <c r="L5">
        <f t="shared" si="1"/>
        <v>0</v>
      </c>
      <c r="M5">
        <f t="shared" si="1"/>
        <v>0</v>
      </c>
      <c r="N5">
        <f t="shared" si="1"/>
        <v>0</v>
      </c>
      <c r="O5">
        <f t="shared" si="1"/>
        <v>0</v>
      </c>
    </row>
    <row r="6" spans="1:17">
      <c r="A6" s="14">
        <v>5</v>
      </c>
      <c r="B6">
        <v>16.61940899787254</v>
      </c>
      <c r="C6">
        <f t="shared" si="0"/>
        <v>13.04300361208173</v>
      </c>
      <c r="D6">
        <f t="shared" si="2"/>
        <v>-15.938651444022572</v>
      </c>
      <c r="E6">
        <f t="shared" si="1"/>
        <v>-26.348906333499702</v>
      </c>
      <c r="F6">
        <f t="shared" si="1"/>
        <v>4.1204178489576684</v>
      </c>
      <c r="G6">
        <f t="shared" si="1"/>
        <v>4.7066946142091801</v>
      </c>
      <c r="H6">
        <f t="shared" si="1"/>
        <v>0</v>
      </c>
      <c r="I6">
        <f t="shared" si="1"/>
        <v>0</v>
      </c>
      <c r="J6">
        <f t="shared" si="1"/>
        <v>0</v>
      </c>
      <c r="K6">
        <f t="shared" si="1"/>
        <v>0</v>
      </c>
      <c r="L6">
        <f t="shared" si="1"/>
        <v>0</v>
      </c>
      <c r="M6">
        <f t="shared" si="1"/>
        <v>0</v>
      </c>
      <c r="N6">
        <f t="shared" si="1"/>
        <v>0</v>
      </c>
      <c r="O6">
        <f t="shared" si="1"/>
        <v>0</v>
      </c>
    </row>
    <row r="7" spans="1:17">
      <c r="A7" s="14">
        <v>6</v>
      </c>
      <c r="B7">
        <v>0.91742429888819288</v>
      </c>
      <c r="C7">
        <f t="shared" si="0"/>
        <v>-2.6589810869026178</v>
      </c>
      <c r="D7">
        <f t="shared" si="2"/>
        <v>13.04300361208173</v>
      </c>
      <c r="E7">
        <f t="shared" si="1"/>
        <v>-15.938651444022572</v>
      </c>
      <c r="F7">
        <f t="shared" si="1"/>
        <v>-26.348906333499702</v>
      </c>
      <c r="G7">
        <f t="shared" si="1"/>
        <v>4.1204178489576684</v>
      </c>
      <c r="H7">
        <f t="shared" si="1"/>
        <v>4.7066946142091801</v>
      </c>
      <c r="I7">
        <f t="shared" si="1"/>
        <v>0</v>
      </c>
      <c r="J7">
        <f t="shared" si="1"/>
        <v>0</v>
      </c>
      <c r="K7">
        <f t="shared" si="1"/>
        <v>0</v>
      </c>
      <c r="L7">
        <f t="shared" si="1"/>
        <v>0</v>
      </c>
      <c r="M7">
        <f t="shared" si="1"/>
        <v>0</v>
      </c>
      <c r="N7">
        <f t="shared" si="1"/>
        <v>0</v>
      </c>
      <c r="O7">
        <f t="shared" si="1"/>
        <v>0</v>
      </c>
      <c r="Q7" t="s">
        <v>30</v>
      </c>
    </row>
    <row r="8" spans="1:17">
      <c r="A8" s="14">
        <v>7</v>
      </c>
      <c r="B8">
        <v>-8.4675047203062377</v>
      </c>
      <c r="C8">
        <f t="shared" si="0"/>
        <v>-12.043910106097048</v>
      </c>
      <c r="D8">
        <f t="shared" si="2"/>
        <v>-2.6589810869026178</v>
      </c>
      <c r="E8">
        <f t="shared" si="1"/>
        <v>13.04300361208173</v>
      </c>
      <c r="F8">
        <f t="shared" si="1"/>
        <v>-15.938651444022572</v>
      </c>
      <c r="G8">
        <f t="shared" si="1"/>
        <v>-26.348906333499702</v>
      </c>
      <c r="H8">
        <f t="shared" si="1"/>
        <v>4.1204178489576684</v>
      </c>
      <c r="I8">
        <f t="shared" si="1"/>
        <v>4.7066946142091801</v>
      </c>
      <c r="J8">
        <f t="shared" si="1"/>
        <v>0</v>
      </c>
      <c r="K8">
        <f t="shared" si="1"/>
        <v>0</v>
      </c>
      <c r="L8">
        <f t="shared" si="1"/>
        <v>0</v>
      </c>
      <c r="M8">
        <f t="shared" si="1"/>
        <v>0</v>
      </c>
      <c r="N8">
        <f t="shared" si="1"/>
        <v>0</v>
      </c>
      <c r="O8">
        <f t="shared" si="1"/>
        <v>0</v>
      </c>
      <c r="Q8" t="s">
        <v>34</v>
      </c>
    </row>
    <row r="9" spans="1:17">
      <c r="A9" s="14">
        <v>8</v>
      </c>
      <c r="B9">
        <v>-5.3703858106099744</v>
      </c>
      <c r="C9">
        <f t="shared" si="0"/>
        <v>-8.9467911964007847</v>
      </c>
      <c r="D9">
        <f t="shared" si="2"/>
        <v>-12.043910106097048</v>
      </c>
      <c r="E9">
        <f t="shared" si="1"/>
        <v>-2.6589810869026178</v>
      </c>
      <c r="F9">
        <f t="shared" si="1"/>
        <v>13.04300361208173</v>
      </c>
      <c r="G9">
        <f t="shared" si="1"/>
        <v>-15.938651444022572</v>
      </c>
      <c r="H9">
        <f t="shared" si="1"/>
        <v>-26.348906333499702</v>
      </c>
      <c r="I9">
        <f t="shared" si="1"/>
        <v>4.1204178489576684</v>
      </c>
      <c r="J9">
        <f t="shared" si="1"/>
        <v>4.7066946142091801</v>
      </c>
      <c r="K9">
        <f t="shared" si="1"/>
        <v>0</v>
      </c>
      <c r="L9">
        <f t="shared" si="1"/>
        <v>0</v>
      </c>
      <c r="M9">
        <f t="shared" si="1"/>
        <v>0</v>
      </c>
      <c r="N9">
        <f t="shared" si="1"/>
        <v>0</v>
      </c>
      <c r="O9">
        <f t="shared" si="1"/>
        <v>0</v>
      </c>
      <c r="Q9" t="s">
        <v>35</v>
      </c>
    </row>
    <row r="10" spans="1:17">
      <c r="A10" s="14">
        <v>9</v>
      </c>
      <c r="B10">
        <v>6.8734375518195918</v>
      </c>
      <c r="C10">
        <f t="shared" si="0"/>
        <v>3.2970321660287811</v>
      </c>
      <c r="D10">
        <f t="shared" si="2"/>
        <v>-8.9467911964007847</v>
      </c>
      <c r="E10">
        <f t="shared" si="1"/>
        <v>-12.043910106097048</v>
      </c>
      <c r="F10">
        <f t="shared" si="1"/>
        <v>-2.6589810869026178</v>
      </c>
      <c r="G10">
        <f t="shared" si="1"/>
        <v>13.04300361208173</v>
      </c>
      <c r="H10">
        <f t="shared" si="1"/>
        <v>-15.938651444022572</v>
      </c>
      <c r="I10">
        <f t="shared" si="1"/>
        <v>-26.348906333499702</v>
      </c>
      <c r="J10">
        <f t="shared" si="1"/>
        <v>4.1204178489576684</v>
      </c>
      <c r="K10">
        <f t="shared" si="1"/>
        <v>4.7066946142091801</v>
      </c>
      <c r="L10">
        <f t="shared" si="1"/>
        <v>0</v>
      </c>
      <c r="M10">
        <f t="shared" si="1"/>
        <v>0</v>
      </c>
      <c r="N10">
        <f t="shared" si="1"/>
        <v>0</v>
      </c>
      <c r="O10">
        <f t="shared" si="1"/>
        <v>0</v>
      </c>
      <c r="Q10" t="s">
        <v>36</v>
      </c>
    </row>
    <row r="11" spans="1:17">
      <c r="A11" s="14">
        <v>10</v>
      </c>
      <c r="B11">
        <v>11.806723989001227</v>
      </c>
      <c r="C11">
        <f t="shared" si="0"/>
        <v>8.2303186032104172</v>
      </c>
      <c r="D11">
        <f t="shared" si="2"/>
        <v>3.2970321660287811</v>
      </c>
      <c r="E11">
        <f t="shared" si="1"/>
        <v>-8.9467911964007847</v>
      </c>
      <c r="F11">
        <f t="shared" si="1"/>
        <v>-12.043910106097048</v>
      </c>
      <c r="G11">
        <f t="shared" si="1"/>
        <v>-2.6589810869026178</v>
      </c>
      <c r="H11">
        <f t="shared" si="1"/>
        <v>13.04300361208173</v>
      </c>
      <c r="I11">
        <f t="shared" si="1"/>
        <v>-15.938651444022572</v>
      </c>
      <c r="J11">
        <f t="shared" si="1"/>
        <v>-26.348906333499702</v>
      </c>
      <c r="K11">
        <f t="shared" si="1"/>
        <v>4.1204178489576684</v>
      </c>
      <c r="L11">
        <f t="shared" si="1"/>
        <v>4.7066946142091801</v>
      </c>
      <c r="M11">
        <f t="shared" si="1"/>
        <v>0</v>
      </c>
      <c r="N11">
        <f t="shared" si="1"/>
        <v>0</v>
      </c>
      <c r="O11">
        <f t="shared" si="1"/>
        <v>0</v>
      </c>
    </row>
    <row r="12" spans="1:17">
      <c r="A12" s="14">
        <v>11</v>
      </c>
      <c r="B12">
        <v>7.0751344862015628</v>
      </c>
      <c r="C12">
        <f t="shared" si="0"/>
        <v>3.4987291004107521</v>
      </c>
      <c r="D12">
        <f t="shared" si="2"/>
        <v>8.2303186032104172</v>
      </c>
      <c r="E12">
        <f t="shared" si="1"/>
        <v>3.2970321660287811</v>
      </c>
      <c r="F12">
        <f t="shared" si="1"/>
        <v>-8.9467911964007847</v>
      </c>
      <c r="G12">
        <f t="shared" si="1"/>
        <v>-12.043910106097048</v>
      </c>
      <c r="H12">
        <f t="shared" si="1"/>
        <v>-2.6589810869026178</v>
      </c>
      <c r="I12">
        <f t="shared" si="1"/>
        <v>13.04300361208173</v>
      </c>
      <c r="J12">
        <f t="shared" si="1"/>
        <v>-15.938651444022572</v>
      </c>
      <c r="K12">
        <f t="shared" si="1"/>
        <v>-26.348906333499702</v>
      </c>
      <c r="L12">
        <f t="shared" si="1"/>
        <v>4.1204178489576684</v>
      </c>
      <c r="M12">
        <f t="shared" si="1"/>
        <v>4.7066946142091801</v>
      </c>
      <c r="N12">
        <f t="shared" si="1"/>
        <v>0</v>
      </c>
      <c r="O12">
        <f t="shared" si="1"/>
        <v>0</v>
      </c>
    </row>
    <row r="13" spans="1:17">
      <c r="A13" s="14">
        <v>12</v>
      </c>
      <c r="B13">
        <v>31.2144372223581</v>
      </c>
      <c r="C13">
        <f t="shared" si="0"/>
        <v>27.63803183656729</v>
      </c>
      <c r="D13">
        <f t="shared" si="2"/>
        <v>3.4987291004107521</v>
      </c>
      <c r="E13">
        <f t="shared" si="1"/>
        <v>8.2303186032104172</v>
      </c>
      <c r="F13">
        <f t="shared" si="1"/>
        <v>3.2970321660287811</v>
      </c>
      <c r="G13">
        <f t="shared" si="1"/>
        <v>-8.9467911964007847</v>
      </c>
      <c r="H13">
        <f t="shared" si="1"/>
        <v>-12.043910106097048</v>
      </c>
      <c r="I13">
        <f t="shared" si="1"/>
        <v>-2.6589810869026178</v>
      </c>
      <c r="J13">
        <f t="shared" si="1"/>
        <v>13.04300361208173</v>
      </c>
      <c r="K13">
        <f t="shared" si="1"/>
        <v>-15.938651444022572</v>
      </c>
      <c r="L13">
        <f t="shared" si="1"/>
        <v>-26.348906333499702</v>
      </c>
      <c r="M13">
        <f t="shared" si="1"/>
        <v>4.1204178489576684</v>
      </c>
      <c r="N13">
        <f t="shared" si="1"/>
        <v>4.7066946142091801</v>
      </c>
      <c r="O13">
        <f t="shared" si="1"/>
        <v>0</v>
      </c>
    </row>
    <row r="14" spans="1:17">
      <c r="A14" s="14">
        <v>13</v>
      </c>
      <c r="B14">
        <v>-25.649271880711922</v>
      </c>
      <c r="C14">
        <f t="shared" si="0"/>
        <v>-29.225677266502732</v>
      </c>
      <c r="D14">
        <f t="shared" si="2"/>
        <v>27.63803183656729</v>
      </c>
      <c r="E14">
        <f t="shared" si="1"/>
        <v>3.4987291004107521</v>
      </c>
      <c r="F14">
        <f t="shared" si="1"/>
        <v>8.2303186032104172</v>
      </c>
      <c r="G14">
        <f t="shared" si="1"/>
        <v>3.2970321660287811</v>
      </c>
      <c r="H14">
        <f t="shared" si="1"/>
        <v>-8.9467911964007847</v>
      </c>
      <c r="I14">
        <f t="shared" si="1"/>
        <v>-12.043910106097048</v>
      </c>
      <c r="J14">
        <f t="shared" si="1"/>
        <v>-2.6589810869026178</v>
      </c>
      <c r="K14">
        <f t="shared" si="1"/>
        <v>13.04300361208173</v>
      </c>
      <c r="L14">
        <f t="shared" si="1"/>
        <v>-15.938651444022572</v>
      </c>
      <c r="M14">
        <f t="shared" si="1"/>
        <v>-26.348906333499702</v>
      </c>
      <c r="N14">
        <f t="shared" si="1"/>
        <v>4.1204178489576684</v>
      </c>
      <c r="O14">
        <f t="shared" si="1"/>
        <v>4.7066946142091801</v>
      </c>
    </row>
    <row r="15" spans="1:17">
      <c r="A15" s="14">
        <v>14</v>
      </c>
      <c r="B15">
        <v>-13.13615479774316</v>
      </c>
      <c r="C15">
        <f t="shared" si="0"/>
        <v>-16.71256018353397</v>
      </c>
      <c r="D15">
        <f t="shared" si="2"/>
        <v>-29.225677266502732</v>
      </c>
      <c r="E15">
        <f t="shared" si="1"/>
        <v>27.63803183656729</v>
      </c>
      <c r="F15">
        <f t="shared" si="1"/>
        <v>3.4987291004107521</v>
      </c>
      <c r="G15">
        <f t="shared" si="1"/>
        <v>8.2303186032104172</v>
      </c>
      <c r="H15">
        <f t="shared" si="1"/>
        <v>3.2970321660287811</v>
      </c>
      <c r="I15">
        <f t="shared" si="1"/>
        <v>-8.9467911964007847</v>
      </c>
      <c r="J15">
        <f t="shared" si="1"/>
        <v>-12.043910106097048</v>
      </c>
      <c r="K15">
        <f t="shared" si="1"/>
        <v>-2.6589810869026178</v>
      </c>
      <c r="L15">
        <f t="shared" si="1"/>
        <v>13.04300361208173</v>
      </c>
      <c r="M15">
        <f t="shared" si="1"/>
        <v>-15.938651444022572</v>
      </c>
      <c r="N15">
        <f t="shared" si="1"/>
        <v>-26.348906333499702</v>
      </c>
      <c r="O15">
        <f t="shared" si="1"/>
        <v>4.1204178489576684</v>
      </c>
    </row>
    <row r="16" spans="1:17">
      <c r="A16" s="14">
        <v>15</v>
      </c>
      <c r="B16">
        <v>-9.4105393134499309</v>
      </c>
      <c r="C16">
        <f t="shared" si="0"/>
        <v>-12.986944699240741</v>
      </c>
      <c r="D16">
        <f t="shared" si="2"/>
        <v>-16.71256018353397</v>
      </c>
      <c r="E16">
        <f t="shared" si="1"/>
        <v>-29.225677266502732</v>
      </c>
      <c r="F16">
        <f t="shared" si="1"/>
        <v>27.63803183656729</v>
      </c>
      <c r="G16">
        <f t="shared" si="1"/>
        <v>3.4987291004107521</v>
      </c>
      <c r="H16">
        <f t="shared" si="1"/>
        <v>8.2303186032104172</v>
      </c>
      <c r="I16">
        <f t="shared" si="1"/>
        <v>3.2970321660287811</v>
      </c>
      <c r="J16">
        <f t="shared" si="1"/>
        <v>-8.9467911964007847</v>
      </c>
      <c r="K16">
        <f t="shared" si="1"/>
        <v>-12.043910106097048</v>
      </c>
      <c r="L16">
        <f t="shared" si="1"/>
        <v>-2.6589810869026178</v>
      </c>
      <c r="M16">
        <f t="shared" si="1"/>
        <v>13.04300361208173</v>
      </c>
      <c r="N16">
        <f t="shared" si="1"/>
        <v>-15.938651444022572</v>
      </c>
      <c r="O16">
        <f t="shared" si="1"/>
        <v>-26.348906333499702</v>
      </c>
    </row>
    <row r="17" spans="1:15">
      <c r="A17" s="14">
        <v>16</v>
      </c>
      <c r="B17">
        <v>-18.811017373979126</v>
      </c>
      <c r="C17">
        <f t="shared" si="0"/>
        <v>-22.387422759769937</v>
      </c>
      <c r="D17">
        <f t="shared" si="2"/>
        <v>-12.986944699240741</v>
      </c>
      <c r="E17">
        <f t="shared" si="1"/>
        <v>-16.71256018353397</v>
      </c>
      <c r="F17">
        <f t="shared" si="1"/>
        <v>-29.225677266502732</v>
      </c>
      <c r="G17">
        <f t="shared" si="1"/>
        <v>27.63803183656729</v>
      </c>
      <c r="H17">
        <f t="shared" si="1"/>
        <v>3.4987291004107521</v>
      </c>
      <c r="I17">
        <f t="shared" si="1"/>
        <v>8.2303186032104172</v>
      </c>
      <c r="J17">
        <f t="shared" si="1"/>
        <v>3.2970321660287811</v>
      </c>
      <c r="K17">
        <f t="shared" si="1"/>
        <v>-8.9467911964007847</v>
      </c>
      <c r="L17">
        <f t="shared" si="1"/>
        <v>-12.043910106097048</v>
      </c>
      <c r="M17">
        <f t="shared" si="1"/>
        <v>-2.6589810869026178</v>
      </c>
      <c r="N17">
        <f t="shared" si="1"/>
        <v>13.04300361208173</v>
      </c>
      <c r="O17">
        <f t="shared" si="1"/>
        <v>-15.938651444022572</v>
      </c>
    </row>
    <row r="18" spans="1:15">
      <c r="A18" s="14">
        <v>17</v>
      </c>
      <c r="B18">
        <v>34.642922550101673</v>
      </c>
      <c r="C18">
        <f t="shared" si="0"/>
        <v>31.066517164310863</v>
      </c>
      <c r="D18">
        <f t="shared" si="2"/>
        <v>-22.387422759769937</v>
      </c>
      <c r="E18">
        <f t="shared" si="1"/>
        <v>-12.986944699240741</v>
      </c>
      <c r="F18">
        <f t="shared" si="1"/>
        <v>-16.71256018353397</v>
      </c>
      <c r="G18">
        <f t="shared" si="1"/>
        <v>-29.225677266502732</v>
      </c>
      <c r="H18">
        <f t="shared" si="1"/>
        <v>27.63803183656729</v>
      </c>
      <c r="I18">
        <f t="shared" si="1"/>
        <v>3.4987291004107521</v>
      </c>
      <c r="J18">
        <f t="shared" si="1"/>
        <v>8.2303186032104172</v>
      </c>
      <c r="K18">
        <f t="shared" si="1"/>
        <v>3.2970321660287811</v>
      </c>
      <c r="L18">
        <f t="shared" si="1"/>
        <v>-8.9467911964007847</v>
      </c>
      <c r="M18">
        <f t="shared" si="1"/>
        <v>-12.043910106097048</v>
      </c>
      <c r="N18">
        <f t="shared" si="1"/>
        <v>-2.6589810869026178</v>
      </c>
      <c r="O18">
        <f t="shared" si="1"/>
        <v>13.04300361208173</v>
      </c>
    </row>
    <row r="19" spans="1:15">
      <c r="A19" s="14">
        <v>18</v>
      </c>
      <c r="B19">
        <v>-16.347449307549766</v>
      </c>
      <c r="C19">
        <f t="shared" si="0"/>
        <v>-19.923854693340576</v>
      </c>
      <c r="D19">
        <f t="shared" si="2"/>
        <v>31.066517164310863</v>
      </c>
      <c r="E19">
        <f t="shared" ref="E19:O34" si="3">D18</f>
        <v>-22.387422759769937</v>
      </c>
      <c r="F19">
        <f t="shared" si="3"/>
        <v>-12.986944699240741</v>
      </c>
      <c r="G19">
        <f t="shared" si="3"/>
        <v>-16.71256018353397</v>
      </c>
      <c r="H19">
        <f t="shared" si="3"/>
        <v>-29.225677266502732</v>
      </c>
      <c r="I19">
        <f t="shared" si="3"/>
        <v>27.63803183656729</v>
      </c>
      <c r="J19">
        <f t="shared" si="3"/>
        <v>3.4987291004107521</v>
      </c>
      <c r="K19">
        <f t="shared" si="3"/>
        <v>8.2303186032104172</v>
      </c>
      <c r="L19">
        <f t="shared" si="3"/>
        <v>3.2970321660287811</v>
      </c>
      <c r="M19">
        <f t="shared" si="3"/>
        <v>-8.9467911964007847</v>
      </c>
      <c r="N19">
        <f t="shared" si="3"/>
        <v>-12.043910106097048</v>
      </c>
      <c r="O19">
        <f t="shared" si="3"/>
        <v>-2.6589810869026178</v>
      </c>
    </row>
    <row r="20" spans="1:15">
      <c r="A20" s="14">
        <v>19</v>
      </c>
      <c r="B20">
        <v>-5.1577627153644983</v>
      </c>
      <c r="C20">
        <f t="shared" si="0"/>
        <v>-8.7341681011553085</v>
      </c>
      <c r="D20">
        <f t="shared" si="2"/>
        <v>-19.923854693340576</v>
      </c>
      <c r="E20">
        <f t="shared" si="3"/>
        <v>31.066517164310863</v>
      </c>
      <c r="F20">
        <f t="shared" si="3"/>
        <v>-22.387422759769937</v>
      </c>
      <c r="G20">
        <f t="shared" si="3"/>
        <v>-12.986944699240741</v>
      </c>
      <c r="H20">
        <f t="shared" si="3"/>
        <v>-16.71256018353397</v>
      </c>
      <c r="I20">
        <f t="shared" si="3"/>
        <v>-29.225677266502732</v>
      </c>
      <c r="J20">
        <f t="shared" si="3"/>
        <v>27.63803183656729</v>
      </c>
      <c r="K20">
        <f t="shared" si="3"/>
        <v>3.4987291004107521</v>
      </c>
      <c r="L20">
        <f t="shared" si="3"/>
        <v>8.2303186032104172</v>
      </c>
      <c r="M20">
        <f t="shared" si="3"/>
        <v>3.2970321660287811</v>
      </c>
      <c r="N20">
        <f t="shared" si="3"/>
        <v>-8.9467911964007847</v>
      </c>
      <c r="O20">
        <f t="shared" si="3"/>
        <v>-12.043910106097048</v>
      </c>
    </row>
    <row r="21" spans="1:15">
      <c r="A21" s="14">
        <v>20</v>
      </c>
      <c r="B21">
        <v>4.8373751041448543</v>
      </c>
      <c r="C21">
        <f t="shared" si="0"/>
        <v>1.2609697183540436</v>
      </c>
      <c r="D21">
        <f t="shared" si="2"/>
        <v>-8.7341681011553085</v>
      </c>
      <c r="E21">
        <f t="shared" si="3"/>
        <v>-19.923854693340576</v>
      </c>
      <c r="F21">
        <f t="shared" si="3"/>
        <v>31.066517164310863</v>
      </c>
      <c r="G21">
        <f t="shared" si="3"/>
        <v>-22.387422759769937</v>
      </c>
      <c r="H21">
        <f t="shared" si="3"/>
        <v>-12.986944699240741</v>
      </c>
      <c r="I21">
        <f t="shared" si="3"/>
        <v>-16.71256018353397</v>
      </c>
      <c r="J21">
        <f t="shared" si="3"/>
        <v>-29.225677266502732</v>
      </c>
      <c r="K21">
        <f t="shared" si="3"/>
        <v>27.63803183656729</v>
      </c>
      <c r="L21">
        <f t="shared" si="3"/>
        <v>3.4987291004107521</v>
      </c>
      <c r="M21">
        <f t="shared" si="3"/>
        <v>8.2303186032104172</v>
      </c>
      <c r="N21">
        <f t="shared" si="3"/>
        <v>3.2970321660287811</v>
      </c>
      <c r="O21">
        <f t="shared" si="3"/>
        <v>-8.9467911964007847</v>
      </c>
    </row>
    <row r="22" spans="1:15">
      <c r="A22" s="14">
        <v>21</v>
      </c>
      <c r="B22">
        <v>17.075365714487361</v>
      </c>
      <c r="C22">
        <f t="shared" si="0"/>
        <v>13.498960328696551</v>
      </c>
      <c r="D22">
        <f t="shared" si="2"/>
        <v>1.2609697183540436</v>
      </c>
      <c r="E22">
        <f t="shared" si="3"/>
        <v>-8.7341681011553085</v>
      </c>
      <c r="F22">
        <f t="shared" si="3"/>
        <v>-19.923854693340576</v>
      </c>
      <c r="G22">
        <f t="shared" si="3"/>
        <v>31.066517164310863</v>
      </c>
      <c r="H22">
        <f t="shared" si="3"/>
        <v>-22.387422759769937</v>
      </c>
      <c r="I22">
        <f t="shared" si="3"/>
        <v>-12.986944699240741</v>
      </c>
      <c r="J22">
        <f t="shared" si="3"/>
        <v>-16.71256018353397</v>
      </c>
      <c r="K22">
        <f t="shared" si="3"/>
        <v>-29.225677266502732</v>
      </c>
      <c r="L22">
        <f t="shared" si="3"/>
        <v>27.63803183656729</v>
      </c>
      <c r="M22">
        <f t="shared" si="3"/>
        <v>3.4987291004107521</v>
      </c>
      <c r="N22">
        <f t="shared" si="3"/>
        <v>8.2303186032104172</v>
      </c>
      <c r="O22">
        <f t="shared" si="3"/>
        <v>3.2970321660287811</v>
      </c>
    </row>
    <row r="23" spans="1:15">
      <c r="A23" s="14">
        <v>22</v>
      </c>
      <c r="B23">
        <v>7.6494988875057572</v>
      </c>
      <c r="C23">
        <f t="shared" si="0"/>
        <v>4.073093501714947</v>
      </c>
      <c r="D23">
        <f t="shared" si="2"/>
        <v>13.498960328696551</v>
      </c>
      <c r="E23">
        <f t="shared" si="3"/>
        <v>1.2609697183540436</v>
      </c>
      <c r="F23">
        <f t="shared" si="3"/>
        <v>-8.7341681011553085</v>
      </c>
      <c r="G23">
        <f t="shared" si="3"/>
        <v>-19.923854693340576</v>
      </c>
      <c r="H23">
        <f t="shared" si="3"/>
        <v>31.066517164310863</v>
      </c>
      <c r="I23">
        <f t="shared" si="3"/>
        <v>-22.387422759769937</v>
      </c>
      <c r="J23">
        <f t="shared" si="3"/>
        <v>-12.986944699240741</v>
      </c>
      <c r="K23">
        <f t="shared" si="3"/>
        <v>-16.71256018353397</v>
      </c>
      <c r="L23">
        <f t="shared" si="3"/>
        <v>-29.225677266502732</v>
      </c>
      <c r="M23">
        <f t="shared" si="3"/>
        <v>27.63803183656729</v>
      </c>
      <c r="N23">
        <f t="shared" si="3"/>
        <v>3.4987291004107521</v>
      </c>
      <c r="O23">
        <f t="shared" si="3"/>
        <v>8.2303186032104172</v>
      </c>
    </row>
    <row r="24" spans="1:15">
      <c r="A24" s="14">
        <v>23</v>
      </c>
      <c r="B24">
        <v>13.168413102637402</v>
      </c>
      <c r="C24">
        <f t="shared" si="0"/>
        <v>9.5920077168465916</v>
      </c>
      <c r="D24">
        <f t="shared" si="2"/>
        <v>4.073093501714947</v>
      </c>
      <c r="E24">
        <f t="shared" si="3"/>
        <v>13.498960328696551</v>
      </c>
      <c r="F24">
        <f t="shared" si="3"/>
        <v>1.2609697183540436</v>
      </c>
      <c r="G24">
        <f t="shared" si="3"/>
        <v>-8.7341681011553085</v>
      </c>
      <c r="H24">
        <f t="shared" si="3"/>
        <v>-19.923854693340576</v>
      </c>
      <c r="I24">
        <f t="shared" si="3"/>
        <v>31.066517164310863</v>
      </c>
      <c r="J24">
        <f t="shared" si="3"/>
        <v>-22.387422759769937</v>
      </c>
      <c r="K24">
        <f t="shared" si="3"/>
        <v>-12.986944699240741</v>
      </c>
      <c r="L24">
        <f t="shared" si="3"/>
        <v>-16.71256018353397</v>
      </c>
      <c r="M24">
        <f t="shared" si="3"/>
        <v>-29.225677266502732</v>
      </c>
      <c r="N24">
        <f t="shared" si="3"/>
        <v>27.63803183656729</v>
      </c>
      <c r="O24">
        <f t="shared" si="3"/>
        <v>3.4987291004107521</v>
      </c>
    </row>
    <row r="25" spans="1:15">
      <c r="A25" s="14">
        <v>24</v>
      </c>
      <c r="B25">
        <v>31.588792133834801</v>
      </c>
      <c r="C25">
        <f t="shared" si="0"/>
        <v>28.012386748043991</v>
      </c>
      <c r="D25">
        <f t="shared" si="2"/>
        <v>9.5920077168465916</v>
      </c>
      <c r="E25">
        <f t="shared" si="3"/>
        <v>4.073093501714947</v>
      </c>
      <c r="F25">
        <f t="shared" si="3"/>
        <v>13.498960328696551</v>
      </c>
      <c r="G25">
        <f t="shared" si="3"/>
        <v>1.2609697183540436</v>
      </c>
      <c r="H25">
        <f t="shared" si="3"/>
        <v>-8.7341681011553085</v>
      </c>
      <c r="I25">
        <f t="shared" si="3"/>
        <v>-19.923854693340576</v>
      </c>
      <c r="J25">
        <f t="shared" si="3"/>
        <v>31.066517164310863</v>
      </c>
      <c r="K25">
        <f t="shared" si="3"/>
        <v>-22.387422759769937</v>
      </c>
      <c r="L25">
        <f t="shared" si="3"/>
        <v>-12.986944699240741</v>
      </c>
      <c r="M25">
        <f t="shared" si="3"/>
        <v>-16.71256018353397</v>
      </c>
      <c r="N25">
        <f t="shared" si="3"/>
        <v>-29.225677266502732</v>
      </c>
      <c r="O25">
        <f t="shared" si="3"/>
        <v>27.63803183656729</v>
      </c>
    </row>
    <row r="26" spans="1:15">
      <c r="A26" s="14">
        <v>25</v>
      </c>
      <c r="B26">
        <v>-32.237605449665949</v>
      </c>
      <c r="C26">
        <f t="shared" si="0"/>
        <v>-35.814010835456763</v>
      </c>
      <c r="D26">
        <f t="shared" si="2"/>
        <v>28.012386748043991</v>
      </c>
      <c r="E26">
        <f t="shared" si="3"/>
        <v>9.5920077168465916</v>
      </c>
      <c r="F26">
        <f t="shared" si="3"/>
        <v>4.073093501714947</v>
      </c>
      <c r="G26">
        <f t="shared" si="3"/>
        <v>13.498960328696551</v>
      </c>
      <c r="H26">
        <f t="shared" si="3"/>
        <v>1.2609697183540436</v>
      </c>
      <c r="I26">
        <f t="shared" si="3"/>
        <v>-8.7341681011553085</v>
      </c>
      <c r="J26">
        <f t="shared" si="3"/>
        <v>-19.923854693340576</v>
      </c>
      <c r="K26">
        <f t="shared" si="3"/>
        <v>31.066517164310863</v>
      </c>
      <c r="L26">
        <f t="shared" si="3"/>
        <v>-22.387422759769937</v>
      </c>
      <c r="M26">
        <f t="shared" si="3"/>
        <v>-12.986944699240741</v>
      </c>
      <c r="N26">
        <f t="shared" si="3"/>
        <v>-16.71256018353397</v>
      </c>
      <c r="O26">
        <f t="shared" si="3"/>
        <v>-29.225677266502732</v>
      </c>
    </row>
    <row r="27" spans="1:15">
      <c r="A27" s="14">
        <v>26</v>
      </c>
      <c r="B27">
        <v>16.132584003339446</v>
      </c>
      <c r="C27">
        <f t="shared" si="0"/>
        <v>12.556178617548635</v>
      </c>
      <c r="D27">
        <f t="shared" si="2"/>
        <v>-35.814010835456763</v>
      </c>
      <c r="E27">
        <f t="shared" si="3"/>
        <v>28.012386748043991</v>
      </c>
      <c r="F27">
        <f t="shared" si="3"/>
        <v>9.5920077168465916</v>
      </c>
      <c r="G27">
        <f t="shared" si="3"/>
        <v>4.073093501714947</v>
      </c>
      <c r="H27">
        <f t="shared" si="3"/>
        <v>13.498960328696551</v>
      </c>
      <c r="I27">
        <f t="shared" si="3"/>
        <v>1.2609697183540436</v>
      </c>
      <c r="J27">
        <f t="shared" si="3"/>
        <v>-8.7341681011553085</v>
      </c>
      <c r="K27">
        <f t="shared" si="3"/>
        <v>-19.923854693340576</v>
      </c>
      <c r="L27">
        <f t="shared" si="3"/>
        <v>31.066517164310863</v>
      </c>
      <c r="M27">
        <f t="shared" si="3"/>
        <v>-22.387422759769937</v>
      </c>
      <c r="N27">
        <f t="shared" si="3"/>
        <v>-12.986944699240741</v>
      </c>
      <c r="O27">
        <f t="shared" si="3"/>
        <v>-16.71256018353397</v>
      </c>
    </row>
    <row r="28" spans="1:15">
      <c r="A28" s="14">
        <v>27</v>
      </c>
      <c r="B28">
        <v>-29.942801072313756</v>
      </c>
      <c r="C28">
        <f t="shared" si="0"/>
        <v>-33.51920645810457</v>
      </c>
      <c r="D28">
        <f t="shared" si="2"/>
        <v>12.556178617548635</v>
      </c>
      <c r="E28">
        <f t="shared" si="3"/>
        <v>-35.814010835456763</v>
      </c>
      <c r="F28">
        <f t="shared" si="3"/>
        <v>28.012386748043991</v>
      </c>
      <c r="G28">
        <f t="shared" si="3"/>
        <v>9.5920077168465916</v>
      </c>
      <c r="H28">
        <f t="shared" si="3"/>
        <v>4.073093501714947</v>
      </c>
      <c r="I28">
        <f t="shared" si="3"/>
        <v>13.498960328696551</v>
      </c>
      <c r="J28">
        <f t="shared" si="3"/>
        <v>1.2609697183540436</v>
      </c>
      <c r="K28">
        <f t="shared" si="3"/>
        <v>-8.7341681011553085</v>
      </c>
      <c r="L28">
        <f t="shared" si="3"/>
        <v>-19.923854693340576</v>
      </c>
      <c r="M28">
        <f t="shared" si="3"/>
        <v>31.066517164310863</v>
      </c>
      <c r="N28">
        <f t="shared" si="3"/>
        <v>-22.387422759769937</v>
      </c>
      <c r="O28">
        <f t="shared" si="3"/>
        <v>-12.986944699240741</v>
      </c>
    </row>
    <row r="29" spans="1:15">
      <c r="A29" s="14">
        <v>28</v>
      </c>
      <c r="B29">
        <v>2.3983728103532087</v>
      </c>
      <c r="C29">
        <f t="shared" si="0"/>
        <v>-1.178032575437602</v>
      </c>
      <c r="D29">
        <f t="shared" si="2"/>
        <v>-33.51920645810457</v>
      </c>
      <c r="E29">
        <f t="shared" si="3"/>
        <v>12.556178617548635</v>
      </c>
      <c r="F29">
        <f t="shared" si="3"/>
        <v>-35.814010835456763</v>
      </c>
      <c r="G29">
        <f t="shared" si="3"/>
        <v>28.012386748043991</v>
      </c>
      <c r="H29">
        <f t="shared" si="3"/>
        <v>9.5920077168465916</v>
      </c>
      <c r="I29">
        <f t="shared" si="3"/>
        <v>4.073093501714947</v>
      </c>
      <c r="J29">
        <f t="shared" si="3"/>
        <v>13.498960328696551</v>
      </c>
      <c r="K29">
        <f t="shared" si="3"/>
        <v>1.2609697183540436</v>
      </c>
      <c r="L29">
        <f t="shared" si="3"/>
        <v>-8.7341681011553085</v>
      </c>
      <c r="M29">
        <f t="shared" si="3"/>
        <v>-19.923854693340576</v>
      </c>
      <c r="N29">
        <f t="shared" si="3"/>
        <v>31.066517164310863</v>
      </c>
      <c r="O29">
        <f t="shared" si="3"/>
        <v>-22.387422759769937</v>
      </c>
    </row>
    <row r="30" spans="1:15">
      <c r="A30" s="14">
        <v>29</v>
      </c>
      <c r="B30">
        <v>10.339520924600038</v>
      </c>
      <c r="C30">
        <f t="shared" si="0"/>
        <v>6.7631155388092274</v>
      </c>
      <c r="D30">
        <f t="shared" si="2"/>
        <v>-1.178032575437602</v>
      </c>
      <c r="E30">
        <f t="shared" si="3"/>
        <v>-33.51920645810457</v>
      </c>
      <c r="F30">
        <f t="shared" si="3"/>
        <v>12.556178617548635</v>
      </c>
      <c r="G30">
        <f t="shared" si="3"/>
        <v>-35.814010835456763</v>
      </c>
      <c r="H30">
        <f t="shared" si="3"/>
        <v>28.012386748043991</v>
      </c>
      <c r="I30">
        <f t="shared" si="3"/>
        <v>9.5920077168465916</v>
      </c>
      <c r="J30">
        <f t="shared" si="3"/>
        <v>4.073093501714947</v>
      </c>
      <c r="K30">
        <f t="shared" si="3"/>
        <v>13.498960328696551</v>
      </c>
      <c r="L30">
        <f t="shared" si="3"/>
        <v>1.2609697183540436</v>
      </c>
      <c r="M30">
        <f t="shared" si="3"/>
        <v>-8.7341681011553085</v>
      </c>
      <c r="N30">
        <f t="shared" si="3"/>
        <v>-19.923854693340576</v>
      </c>
      <c r="O30">
        <f t="shared" si="3"/>
        <v>31.066517164310863</v>
      </c>
    </row>
    <row r="31" spans="1:15">
      <c r="A31" s="14">
        <v>30</v>
      </c>
      <c r="B31">
        <v>-15.315321685654908</v>
      </c>
      <c r="C31">
        <f t="shared" si="0"/>
        <v>-18.891727071445718</v>
      </c>
      <c r="D31">
        <f t="shared" si="2"/>
        <v>6.7631155388092274</v>
      </c>
      <c r="E31">
        <f t="shared" si="3"/>
        <v>-1.178032575437602</v>
      </c>
      <c r="F31">
        <f t="shared" si="3"/>
        <v>-33.51920645810457</v>
      </c>
      <c r="G31">
        <f t="shared" si="3"/>
        <v>12.556178617548635</v>
      </c>
      <c r="H31">
        <f t="shared" si="3"/>
        <v>-35.814010835456763</v>
      </c>
      <c r="I31">
        <f t="shared" si="3"/>
        <v>28.012386748043991</v>
      </c>
      <c r="J31">
        <f t="shared" si="3"/>
        <v>9.5920077168465916</v>
      </c>
      <c r="K31">
        <f t="shared" si="3"/>
        <v>4.073093501714947</v>
      </c>
      <c r="L31">
        <f t="shared" si="3"/>
        <v>13.498960328696551</v>
      </c>
      <c r="M31">
        <f t="shared" si="3"/>
        <v>1.2609697183540436</v>
      </c>
      <c r="N31">
        <f t="shared" si="3"/>
        <v>-8.7341681011553085</v>
      </c>
      <c r="O31">
        <f t="shared" si="3"/>
        <v>-19.923854693340576</v>
      </c>
    </row>
    <row r="32" spans="1:15">
      <c r="A32" s="14">
        <v>31</v>
      </c>
      <c r="B32">
        <v>11.475118681608706</v>
      </c>
      <c r="C32">
        <f t="shared" si="0"/>
        <v>7.8987132958178954</v>
      </c>
      <c r="D32">
        <f t="shared" si="2"/>
        <v>-18.891727071445718</v>
      </c>
      <c r="E32">
        <f t="shared" si="3"/>
        <v>6.7631155388092274</v>
      </c>
      <c r="F32">
        <f t="shared" si="3"/>
        <v>-1.178032575437602</v>
      </c>
      <c r="G32">
        <f t="shared" si="3"/>
        <v>-33.51920645810457</v>
      </c>
      <c r="H32">
        <f t="shared" si="3"/>
        <v>12.556178617548635</v>
      </c>
      <c r="I32">
        <f t="shared" si="3"/>
        <v>-35.814010835456763</v>
      </c>
      <c r="J32">
        <f t="shared" si="3"/>
        <v>28.012386748043991</v>
      </c>
      <c r="K32">
        <f t="shared" si="3"/>
        <v>9.5920077168465916</v>
      </c>
      <c r="L32">
        <f t="shared" si="3"/>
        <v>4.073093501714947</v>
      </c>
      <c r="M32">
        <f t="shared" si="3"/>
        <v>13.498960328696551</v>
      </c>
      <c r="N32">
        <f t="shared" si="3"/>
        <v>1.2609697183540436</v>
      </c>
      <c r="O32">
        <f t="shared" si="3"/>
        <v>-8.7341681011553085</v>
      </c>
    </row>
    <row r="33" spans="1:15">
      <c r="A33" s="14">
        <v>32</v>
      </c>
      <c r="B33">
        <v>-0.79375236821243789</v>
      </c>
      <c r="C33">
        <f t="shared" si="0"/>
        <v>-4.3701577540032481</v>
      </c>
      <c r="D33">
        <f t="shared" si="2"/>
        <v>7.8987132958178954</v>
      </c>
      <c r="E33">
        <f t="shared" si="3"/>
        <v>-18.891727071445718</v>
      </c>
      <c r="F33">
        <f t="shared" si="3"/>
        <v>6.7631155388092274</v>
      </c>
      <c r="G33">
        <f t="shared" si="3"/>
        <v>-1.178032575437602</v>
      </c>
      <c r="H33">
        <f t="shared" si="3"/>
        <v>-33.51920645810457</v>
      </c>
      <c r="I33">
        <f t="shared" si="3"/>
        <v>12.556178617548635</v>
      </c>
      <c r="J33">
        <f t="shared" si="3"/>
        <v>-35.814010835456763</v>
      </c>
      <c r="K33">
        <f t="shared" si="3"/>
        <v>28.012386748043991</v>
      </c>
      <c r="L33">
        <f t="shared" si="3"/>
        <v>9.5920077168465916</v>
      </c>
      <c r="M33">
        <f t="shared" si="3"/>
        <v>4.073093501714947</v>
      </c>
      <c r="N33">
        <f t="shared" si="3"/>
        <v>13.498960328696551</v>
      </c>
      <c r="O33">
        <f t="shared" si="3"/>
        <v>1.2609697183540436</v>
      </c>
    </row>
    <row r="34" spans="1:15">
      <c r="A34" s="14">
        <v>33</v>
      </c>
      <c r="B34">
        <v>6.0515754112326761</v>
      </c>
      <c r="C34">
        <f t="shared" si="0"/>
        <v>2.4751700254418654</v>
      </c>
      <c r="D34">
        <f t="shared" si="2"/>
        <v>-4.3701577540032481</v>
      </c>
      <c r="E34">
        <f t="shared" si="3"/>
        <v>7.8987132958178954</v>
      </c>
      <c r="F34">
        <f t="shared" si="3"/>
        <v>-18.891727071445718</v>
      </c>
      <c r="G34">
        <f t="shared" si="3"/>
        <v>6.7631155388092274</v>
      </c>
      <c r="H34">
        <f t="shared" si="3"/>
        <v>-1.178032575437602</v>
      </c>
      <c r="I34">
        <f t="shared" si="3"/>
        <v>-33.51920645810457</v>
      </c>
      <c r="J34">
        <f t="shared" si="3"/>
        <v>12.556178617548635</v>
      </c>
      <c r="K34">
        <f t="shared" si="3"/>
        <v>-35.814010835456763</v>
      </c>
      <c r="L34">
        <f t="shared" si="3"/>
        <v>28.012386748043991</v>
      </c>
      <c r="M34">
        <f t="shared" si="3"/>
        <v>9.5920077168465916</v>
      </c>
      <c r="N34">
        <f t="shared" si="3"/>
        <v>4.073093501714947</v>
      </c>
      <c r="O34">
        <f t="shared" si="3"/>
        <v>13.498960328696551</v>
      </c>
    </row>
    <row r="35" spans="1:15">
      <c r="A35" s="14">
        <v>34</v>
      </c>
      <c r="B35">
        <v>2.1732864092655859</v>
      </c>
      <c r="C35">
        <f t="shared" si="0"/>
        <v>-1.4031189765252248</v>
      </c>
      <c r="D35">
        <f t="shared" si="2"/>
        <v>2.4751700254418654</v>
      </c>
      <c r="E35">
        <f t="shared" ref="E35:O37" si="4">D34</f>
        <v>-4.3701577540032481</v>
      </c>
      <c r="F35">
        <f t="shared" si="4"/>
        <v>7.8987132958178954</v>
      </c>
      <c r="G35">
        <f t="shared" si="4"/>
        <v>-18.891727071445718</v>
      </c>
      <c r="H35">
        <f t="shared" si="4"/>
        <v>6.7631155388092274</v>
      </c>
      <c r="I35">
        <f t="shared" si="4"/>
        <v>-1.178032575437602</v>
      </c>
      <c r="J35">
        <f t="shared" si="4"/>
        <v>-33.51920645810457</v>
      </c>
      <c r="K35">
        <f t="shared" si="4"/>
        <v>12.556178617548635</v>
      </c>
      <c r="L35">
        <f t="shared" si="4"/>
        <v>-35.814010835456763</v>
      </c>
      <c r="M35">
        <f t="shared" si="4"/>
        <v>28.012386748043991</v>
      </c>
      <c r="N35">
        <f t="shared" si="4"/>
        <v>9.5920077168465916</v>
      </c>
      <c r="O35">
        <f t="shared" si="4"/>
        <v>4.073093501714947</v>
      </c>
    </row>
    <row r="36" spans="1:15">
      <c r="A36" s="14">
        <v>35</v>
      </c>
      <c r="B36">
        <v>44.775090971893349</v>
      </c>
      <c r="C36">
        <f t="shared" si="0"/>
        <v>41.198685586102535</v>
      </c>
      <c r="D36">
        <f t="shared" si="2"/>
        <v>-1.4031189765252248</v>
      </c>
      <c r="E36">
        <f t="shared" si="4"/>
        <v>2.4751700254418654</v>
      </c>
      <c r="F36">
        <f t="shared" si="4"/>
        <v>-4.3701577540032481</v>
      </c>
      <c r="G36">
        <f t="shared" si="4"/>
        <v>7.8987132958178954</v>
      </c>
      <c r="H36">
        <f t="shared" si="4"/>
        <v>-18.891727071445718</v>
      </c>
      <c r="I36">
        <f t="shared" si="4"/>
        <v>6.7631155388092274</v>
      </c>
      <c r="J36">
        <f t="shared" si="4"/>
        <v>-1.178032575437602</v>
      </c>
      <c r="K36">
        <f t="shared" si="4"/>
        <v>-33.51920645810457</v>
      </c>
      <c r="L36">
        <f t="shared" si="4"/>
        <v>12.556178617548635</v>
      </c>
      <c r="M36">
        <f t="shared" si="4"/>
        <v>-35.814010835456763</v>
      </c>
      <c r="N36">
        <f t="shared" si="4"/>
        <v>28.012386748043991</v>
      </c>
      <c r="O36">
        <f t="shared" si="4"/>
        <v>9.5920077168465916</v>
      </c>
    </row>
    <row r="37" spans="1:15">
      <c r="A37" s="14">
        <v>36</v>
      </c>
      <c r="B37">
        <v>51.730500904076962</v>
      </c>
      <c r="C37">
        <f t="shared" si="0"/>
        <v>48.154095518286148</v>
      </c>
      <c r="D37">
        <f t="shared" si="2"/>
        <v>41.198685586102535</v>
      </c>
      <c r="E37">
        <f t="shared" si="4"/>
        <v>-1.4031189765252248</v>
      </c>
      <c r="F37">
        <f t="shared" si="4"/>
        <v>2.4751700254418654</v>
      </c>
      <c r="G37">
        <f t="shared" si="4"/>
        <v>-4.3701577540032481</v>
      </c>
      <c r="H37">
        <f t="shared" si="4"/>
        <v>7.8987132958178954</v>
      </c>
      <c r="I37">
        <f t="shared" si="4"/>
        <v>-18.891727071445718</v>
      </c>
      <c r="J37">
        <f t="shared" si="4"/>
        <v>6.7631155388092274</v>
      </c>
      <c r="K37">
        <f t="shared" si="4"/>
        <v>-1.178032575437602</v>
      </c>
      <c r="L37">
        <f t="shared" si="4"/>
        <v>-33.51920645810457</v>
      </c>
      <c r="M37">
        <f t="shared" si="4"/>
        <v>12.556178617548635</v>
      </c>
      <c r="N37">
        <f t="shared" si="4"/>
        <v>-35.814010835456763</v>
      </c>
      <c r="O37">
        <f t="shared" si="4"/>
        <v>28.012386748043991</v>
      </c>
    </row>
    <row r="38" spans="1:15">
      <c r="A38" s="22"/>
      <c r="B38">
        <f>AVERAGE(B2:B37)</f>
        <v>3.5764053857908107</v>
      </c>
      <c r="C38">
        <f>SUMPRODUCT($C2:$C37, C2:C37)</f>
        <v>13636.816508131702</v>
      </c>
      <c r="D38">
        <f t="shared" ref="D38:O38" si="5">SUMPRODUCT($C2:$C37, D2:D37)</f>
        <v>-474.06697262326975</v>
      </c>
      <c r="E38">
        <f t="shared" si="5"/>
        <v>753.36254909983847</v>
      </c>
      <c r="F38">
        <f t="shared" si="5"/>
        <v>-229.30698946040843</v>
      </c>
      <c r="G38">
        <f t="shared" si="5"/>
        <v>-2223.6417381818019</v>
      </c>
      <c r="H38">
        <f t="shared" si="5"/>
        <v>1544.282513839325</v>
      </c>
      <c r="I38">
        <f t="shared" si="5"/>
        <v>-2442.5314602954036</v>
      </c>
      <c r="J38">
        <f t="shared" si="5"/>
        <v>1790.523663893498</v>
      </c>
      <c r="K38">
        <f t="shared" si="5"/>
        <v>-4382.6092692652292</v>
      </c>
      <c r="L38">
        <f t="shared" si="5"/>
        <v>-167.70119604082515</v>
      </c>
      <c r="M38">
        <f t="shared" si="5"/>
        <v>-1460.418880585592</v>
      </c>
      <c r="N38">
        <f t="shared" si="5"/>
        <v>733.06272734448544</v>
      </c>
      <c r="O38">
        <f t="shared" si="5"/>
        <v>5512.8018500423677</v>
      </c>
    </row>
    <row r="39" spans="1:15">
      <c r="A39" s="22"/>
    </row>
    <row r="40" spans="1:15">
      <c r="A40" s="22"/>
      <c r="C40" t="s">
        <v>31</v>
      </c>
      <c r="D40">
        <f>D38/$C38</f>
        <v>-3.4763756800612611E-2</v>
      </c>
      <c r="E40">
        <f t="shared" ref="E40:O40" si="6">E38/$C38</f>
        <v>5.5244752222823018E-2</v>
      </c>
      <c r="F40">
        <f t="shared" si="6"/>
        <v>-1.6815287448039763E-2</v>
      </c>
      <c r="G40">
        <f t="shared" si="6"/>
        <v>-0.16306164542551652</v>
      </c>
      <c r="H40">
        <f t="shared" si="6"/>
        <v>0.11324362345995208</v>
      </c>
      <c r="I40">
        <f t="shared" si="6"/>
        <v>-0.17911302530461634</v>
      </c>
      <c r="J40">
        <f t="shared" si="6"/>
        <v>0.13130070811070896</v>
      </c>
      <c r="K40">
        <f t="shared" si="6"/>
        <v>-0.32138067316898028</v>
      </c>
      <c r="L40">
        <f t="shared" si="6"/>
        <v>-1.2297679296397666E-2</v>
      </c>
      <c r="M40">
        <f t="shared" si="6"/>
        <v>-0.10709382792638861</v>
      </c>
      <c r="N40">
        <f t="shared" si="6"/>
        <v>5.3756148064862237E-2</v>
      </c>
      <c r="O40">
        <f t="shared" si="6"/>
        <v>0.40425870999694513</v>
      </c>
    </row>
    <row r="41" spans="1:15">
      <c r="A41" s="22"/>
    </row>
    <row r="42" spans="1:15">
      <c r="A42" s="22"/>
      <c r="C42" t="s">
        <v>32</v>
      </c>
      <c r="D42">
        <f>2/SQRT(36)</f>
        <v>0.33333333333333331</v>
      </c>
      <c r="E42">
        <f t="shared" ref="E42:O42" si="7">2/SQRT(36)</f>
        <v>0.33333333333333331</v>
      </c>
      <c r="F42">
        <f t="shared" si="7"/>
        <v>0.33333333333333331</v>
      </c>
      <c r="G42">
        <f t="shared" si="7"/>
        <v>0.33333333333333331</v>
      </c>
      <c r="H42">
        <f t="shared" si="7"/>
        <v>0.33333333333333331</v>
      </c>
      <c r="I42">
        <f t="shared" si="7"/>
        <v>0.33333333333333331</v>
      </c>
      <c r="J42">
        <f t="shared" si="7"/>
        <v>0.33333333333333331</v>
      </c>
      <c r="K42">
        <f t="shared" si="7"/>
        <v>0.33333333333333331</v>
      </c>
      <c r="L42">
        <f t="shared" si="7"/>
        <v>0.33333333333333331</v>
      </c>
      <c r="M42">
        <f t="shared" si="7"/>
        <v>0.33333333333333331</v>
      </c>
      <c r="N42">
        <f t="shared" si="7"/>
        <v>0.33333333333333331</v>
      </c>
      <c r="O42">
        <f t="shared" si="7"/>
        <v>0.33333333333333331</v>
      </c>
    </row>
    <row r="43" spans="1:15">
      <c r="A43" s="22"/>
      <c r="C43" t="s">
        <v>33</v>
      </c>
      <c r="D43">
        <f>-2/SQRT(36)</f>
        <v>-0.33333333333333331</v>
      </c>
      <c r="E43">
        <f t="shared" ref="E43:O43" si="8">-2/SQRT(36)</f>
        <v>-0.33333333333333331</v>
      </c>
      <c r="F43">
        <f t="shared" si="8"/>
        <v>-0.33333333333333331</v>
      </c>
      <c r="G43">
        <f t="shared" si="8"/>
        <v>-0.33333333333333331</v>
      </c>
      <c r="H43">
        <f t="shared" si="8"/>
        <v>-0.33333333333333331</v>
      </c>
      <c r="I43">
        <f t="shared" si="8"/>
        <v>-0.33333333333333331</v>
      </c>
      <c r="J43">
        <f t="shared" si="8"/>
        <v>-0.33333333333333331</v>
      </c>
      <c r="K43">
        <f t="shared" si="8"/>
        <v>-0.33333333333333331</v>
      </c>
      <c r="L43">
        <f t="shared" si="8"/>
        <v>-0.33333333333333331</v>
      </c>
      <c r="M43">
        <f t="shared" si="8"/>
        <v>-0.33333333333333331</v>
      </c>
      <c r="N43">
        <f t="shared" si="8"/>
        <v>-0.33333333333333331</v>
      </c>
      <c r="O43">
        <f t="shared" si="8"/>
        <v>-0.33333333333333331</v>
      </c>
    </row>
    <row r="44" spans="1:15">
      <c r="A44" s="22"/>
    </row>
    <row r="45" spans="1:15">
      <c r="A45" s="22"/>
    </row>
    <row r="46" spans="1:15">
      <c r="A46" s="22"/>
    </row>
    <row r="47" spans="1:15">
      <c r="A47" s="22"/>
    </row>
    <row r="48" spans="1:15">
      <c r="A48" s="22"/>
    </row>
    <row r="49" spans="1:1">
      <c r="A49" s="22"/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Timeseries</vt:lpstr>
      <vt:lpstr>SES</vt:lpstr>
      <vt:lpstr>Holt'sTrend-Corrected</vt:lpstr>
      <vt:lpstr>Holt's Autocorrelation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Joe Chong</cp:lastModifiedBy>
  <dcterms:created xsi:type="dcterms:W3CDTF">2013-04-01T16:41:05Z</dcterms:created>
  <dcterms:modified xsi:type="dcterms:W3CDTF">2014-04-14T15:20:41Z</dcterms:modified>
</cp:coreProperties>
</file>
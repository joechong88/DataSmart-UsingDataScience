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526" codeName="{00000000-0000-0000-0000-000000000000}"/>
  <workbookPr showInkAnnotation="0" codeName="ThisWorkbook" autoCompressPictures="0"/>
  <bookViews>
    <workbookView xWindow="3060" yWindow="320" windowWidth="25600" windowHeight="16060" tabRatio="953" activeTab="1"/>
  </bookViews>
  <sheets>
    <sheet name="Timeseries" sheetId="2" r:id="rId1"/>
    <sheet name="SES" sheetId="20" r:id="rId2"/>
  </sheets>
  <definedNames>
    <definedName name="solver_adj" localSheetId="1" hidden="1">SES!$C$2</definedName>
    <definedName name="solver_cvg" localSheetId="1" hidden="1">0.0001</definedName>
    <definedName name="solver_drv" localSheetId="1" hidden="1">1</definedName>
    <definedName name="solver_eng" localSheetId="1" hidden="1">3</definedName>
    <definedName name="solver_itr" localSheetId="1" hidden="1">2147483647</definedName>
    <definedName name="solver_lhs1" localSheetId="1" hidden="1">SES!$C$2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opt" localSheetId="1" hidden="1">SES!$F$2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hs1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20" l="1"/>
  <c r="D7" i="20"/>
  <c r="E7" i="20"/>
  <c r="F7" i="20"/>
  <c r="C7" i="20"/>
  <c r="D8" i="20"/>
  <c r="E8" i="20"/>
  <c r="F8" i="20"/>
  <c r="C8" i="20"/>
  <c r="D9" i="20"/>
  <c r="E9" i="20"/>
  <c r="F9" i="20"/>
  <c r="C9" i="20"/>
  <c r="D10" i="20"/>
  <c r="E10" i="20"/>
  <c r="F10" i="20"/>
  <c r="C10" i="20"/>
  <c r="D11" i="20"/>
  <c r="E11" i="20"/>
  <c r="F11" i="20"/>
  <c r="C11" i="20"/>
  <c r="D12" i="20"/>
  <c r="E12" i="20"/>
  <c r="F12" i="20"/>
  <c r="C12" i="20"/>
  <c r="D13" i="20"/>
  <c r="E13" i="20"/>
  <c r="F13" i="20"/>
  <c r="C13" i="20"/>
  <c r="D14" i="20"/>
  <c r="E14" i="20"/>
  <c r="F14" i="20"/>
  <c r="C14" i="20"/>
  <c r="D15" i="20"/>
  <c r="E15" i="20"/>
  <c r="F15" i="20"/>
  <c r="C15" i="20"/>
  <c r="D16" i="20"/>
  <c r="E16" i="20"/>
  <c r="F16" i="20"/>
  <c r="C16" i="20"/>
  <c r="D17" i="20"/>
  <c r="E17" i="20"/>
  <c r="F17" i="20"/>
  <c r="C17" i="20"/>
  <c r="D18" i="20"/>
  <c r="E18" i="20"/>
  <c r="F18" i="20"/>
  <c r="C18" i="20"/>
  <c r="D19" i="20"/>
  <c r="E19" i="20"/>
  <c r="F19" i="20"/>
  <c r="C19" i="20"/>
  <c r="D20" i="20"/>
  <c r="E20" i="20"/>
  <c r="F20" i="20"/>
  <c r="C20" i="20"/>
  <c r="D21" i="20"/>
  <c r="E21" i="20"/>
  <c r="F21" i="20"/>
  <c r="C21" i="20"/>
  <c r="D22" i="20"/>
  <c r="E22" i="20"/>
  <c r="F22" i="20"/>
  <c r="C22" i="20"/>
  <c r="D23" i="20"/>
  <c r="E23" i="20"/>
  <c r="F23" i="20"/>
  <c r="C23" i="20"/>
  <c r="D24" i="20"/>
  <c r="E24" i="20"/>
  <c r="F24" i="20"/>
  <c r="C24" i="20"/>
  <c r="D25" i="20"/>
  <c r="E25" i="20"/>
  <c r="F25" i="20"/>
  <c r="C25" i="20"/>
  <c r="D26" i="20"/>
  <c r="E26" i="20"/>
  <c r="F26" i="20"/>
  <c r="C26" i="20"/>
  <c r="D27" i="20"/>
  <c r="E27" i="20"/>
  <c r="F27" i="20"/>
  <c r="C27" i="20"/>
  <c r="D28" i="20"/>
  <c r="E28" i="20"/>
  <c r="F28" i="20"/>
  <c r="C28" i="20"/>
  <c r="D29" i="20"/>
  <c r="E29" i="20"/>
  <c r="F29" i="20"/>
  <c r="C29" i="20"/>
  <c r="D30" i="20"/>
  <c r="E30" i="20"/>
  <c r="F30" i="20"/>
  <c r="C30" i="20"/>
  <c r="D31" i="20"/>
  <c r="E31" i="20"/>
  <c r="F31" i="20"/>
  <c r="C31" i="20"/>
  <c r="D32" i="20"/>
  <c r="E32" i="20"/>
  <c r="F32" i="20"/>
  <c r="C32" i="20"/>
  <c r="D33" i="20"/>
  <c r="E33" i="20"/>
  <c r="F33" i="20"/>
  <c r="C33" i="20"/>
  <c r="D34" i="20"/>
  <c r="E34" i="20"/>
  <c r="F34" i="20"/>
  <c r="C34" i="20"/>
  <c r="D35" i="20"/>
  <c r="E35" i="20"/>
  <c r="F35" i="20"/>
  <c r="C35" i="20"/>
  <c r="D36" i="20"/>
  <c r="E36" i="20"/>
  <c r="F36" i="20"/>
  <c r="C36" i="20"/>
  <c r="D37" i="20"/>
  <c r="E37" i="20"/>
  <c r="F37" i="20"/>
  <c r="C37" i="20"/>
  <c r="D38" i="20"/>
  <c r="E38" i="20"/>
  <c r="F38" i="20"/>
  <c r="C38" i="20"/>
  <c r="D39" i="20"/>
  <c r="E39" i="20"/>
  <c r="F39" i="20"/>
  <c r="C39" i="20"/>
  <c r="D40" i="20"/>
  <c r="E40" i="20"/>
  <c r="F40" i="20"/>
  <c r="C40" i="20"/>
  <c r="D41" i="20"/>
  <c r="E41" i="20"/>
  <c r="F41" i="20"/>
  <c r="E2" i="20"/>
  <c r="F2" i="20"/>
  <c r="F6" i="20"/>
  <c r="C41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E6" i="20"/>
  <c r="D6" i="20"/>
  <c r="C5" i="20"/>
  <c r="B41" i="2"/>
  <c r="B40" i="2"/>
  <c r="B39" i="2"/>
  <c r="B42" i="2"/>
</calcChain>
</file>

<file path=xl/sharedStrings.xml><?xml version="1.0" encoding="utf-8"?>
<sst xmlns="http://schemas.openxmlformats.org/spreadsheetml/2006/main" count="16" uniqueCount="14">
  <si>
    <t>Demand</t>
  </si>
  <si>
    <t>t</t>
  </si>
  <si>
    <t>Total Months</t>
  </si>
  <si>
    <t>Level Estimate</t>
  </si>
  <si>
    <t>Forecast Error</t>
  </si>
  <si>
    <t>Squared Error</t>
  </si>
  <si>
    <t>SSE</t>
  </si>
  <si>
    <t>Standard Error</t>
  </si>
  <si>
    <t>Slope</t>
  </si>
  <si>
    <t>Degrees of Freedom</t>
  </si>
  <si>
    <t>t Test p value</t>
  </si>
  <si>
    <t>Slope Standard Error</t>
  </si>
  <si>
    <t>Level smoothing parameter (Alpha)</t>
  </si>
  <si>
    <t>One 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</si>
</sst>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E+00;\_x0000_"/>
  </numFmts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37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applyBorder="1"/>
    <xf numFmtId="0" fontId="3" fillId="0" borderId="3" xfId="0" applyFont="1" applyBorder="1"/>
    <xf numFmtId="0" fontId="3" fillId="0" borderId="4" xfId="0" applyFont="1" applyBorder="1"/>
    <xf numFmtId="2" fontId="0" fillId="0" borderId="0" xfId="0" applyNumberFormat="1" applyBorder="1"/>
    <xf numFmtId="165" fontId="0" fillId="0" borderId="0" xfId="0" applyNumberFormat="1" applyBorder="1"/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3" fillId="0" borderId="0" xfId="0" applyFont="1" applyBorder="1"/>
    <xf numFmtId="0" fontId="0" fillId="0" borderId="0" xfId="0" applyBorder="1" applyAlignment="1">
      <alignment vertical="center"/>
    </xf>
    <xf numFmtId="0" fontId="3" fillId="0" borderId="0" xfId="0" applyFont="1"/>
    <xf numFmtId="0" fontId="0" fillId="2" borderId="0" xfId="0" applyFont="1" applyFill="1" applyBorder="1"/>
    <xf numFmtId="0" fontId="3" fillId="2" borderId="0" xfId="0" applyFont="1" applyFill="1" applyBorder="1"/>
    <xf numFmtId="0" fontId="0" fillId="2" borderId="0" xfId="0" applyFill="1"/>
    <xf numFmtId="1" fontId="0" fillId="0" borderId="0" xfId="0" applyNumberFormat="1"/>
  </cellXfs>
  <cellStyles count="437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Followed Hyperlink" xfId="4364" builtinId="9" hidden="1"/>
    <cellStyle name="Followed Hyperlink" xfId="4366" builtinId="9" hidden="1"/>
    <cellStyle name="Followed Hyperlink" xfId="4368" builtinId="9" hidden="1"/>
    <cellStyle name="Followed Hyperlink" xfId="437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Hyperlink" xfId="4363" builtinId="8" hidden="1"/>
    <cellStyle name="Hyperlink" xfId="4365" builtinId="8" hidden="1"/>
    <cellStyle name="Hyperlink" xfId="4367" builtinId="8" hidden="1"/>
    <cellStyle name="Hyperlink" xfId="4369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Demand for Anduril, </a:t>
            </a:r>
          </a:p>
          <a:p>
            <a:pPr>
              <a:defRPr/>
            </a:pPr>
            <a:r>
              <a:rPr lang="en-US"/>
              <a:t>Flame of the West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Timeseries!$B$1</c:f>
              <c:strCache>
                <c:ptCount val="1"/>
                <c:pt idx="0">
                  <c:v>Demand</c:v>
                </c:pt>
              </c:strCache>
            </c:strRef>
          </c:tx>
          <c:spPr>
            <a:ln w="47625">
              <a:noFill/>
            </a:ln>
          </c:spPr>
          <c:xVal>
            <c:numRef>
              <c:f>Timeseries!$A$2:$A$37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Timeseries!$B$2:$B$37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837048"/>
        <c:axId val="2121842072"/>
      </c:scatterChart>
      <c:valAx>
        <c:axId val="2121837048"/>
        <c:scaling>
          <c:orientation val="minMax"/>
          <c:max val="36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21842072"/>
        <c:crosses val="autoZero"/>
        <c:crossBetween val="midCat"/>
        <c:majorUnit val="6.0"/>
      </c:valAx>
      <c:valAx>
        <c:axId val="2121842072"/>
        <c:scaling>
          <c:orientation val="minMax"/>
          <c:min val="10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2183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 Exponential Smoothing Forecast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SES!$A$6:$A$41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SES!$B$6:$B$41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415176"/>
        <c:axId val="2065434472"/>
      </c:scatterChart>
      <c:valAx>
        <c:axId val="2065415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65434472"/>
        <c:crosses val="autoZero"/>
        <c:crossBetween val="midCat"/>
      </c:valAx>
      <c:valAx>
        <c:axId val="2065434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654151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0</xdr:row>
      <xdr:rowOff>194732</xdr:rowOff>
    </xdr:from>
    <xdr:to>
      <xdr:col>9</xdr:col>
      <xdr:colOff>215900</xdr:colOff>
      <xdr:row>36</xdr:row>
      <xdr:rowOff>135466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4</xdr:row>
      <xdr:rowOff>165100</xdr:rowOff>
    </xdr:from>
    <xdr:to>
      <xdr:col>13</xdr:col>
      <xdr:colOff>787400</xdr:colOff>
      <xdr:row>25</xdr:row>
      <xdr:rowOff>139700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42"/>
  <sheetViews>
    <sheetView zoomScale="150" zoomScaleNormal="150" zoomScalePageLayoutView="150" workbookViewId="0">
      <selection sqref="A1:B37"/>
    </sheetView>
  </sheetViews>
  <sheetFormatPr baseColWidth="10" defaultColWidth="11" defaultRowHeight="15" x14ac:dyDescent="0"/>
  <cols>
    <col min="1" max="1" width="6.33203125" customWidth="1"/>
    <col min="2" max="2" width="12.1640625" style="3" bestFit="1" customWidth="1"/>
  </cols>
  <sheetData>
    <row r="1" spans="1:2">
      <c r="A1" s="4" t="s">
        <v>1</v>
      </c>
      <c r="B1" s="5" t="s">
        <v>0</v>
      </c>
    </row>
    <row r="2" spans="1:2" s="10" customFormat="1" ht="12" customHeight="1">
      <c r="A2" s="8">
        <v>1</v>
      </c>
      <c r="B2" s="9">
        <v>165</v>
      </c>
    </row>
    <row r="3" spans="1:2" s="10" customFormat="1" ht="12" customHeight="1">
      <c r="A3" s="8">
        <v>2</v>
      </c>
      <c r="B3" s="9">
        <v>171</v>
      </c>
    </row>
    <row r="4" spans="1:2" s="10" customFormat="1" ht="12" customHeight="1">
      <c r="A4" s="8">
        <v>3</v>
      </c>
      <c r="B4" s="9">
        <v>147</v>
      </c>
    </row>
    <row r="5" spans="1:2" s="10" customFormat="1" ht="12" customHeight="1">
      <c r="A5" s="8">
        <v>4</v>
      </c>
      <c r="B5" s="9">
        <v>143</v>
      </c>
    </row>
    <row r="6" spans="1:2" s="10" customFormat="1" ht="12" customHeight="1">
      <c r="A6" s="8">
        <v>5</v>
      </c>
      <c r="B6" s="9">
        <v>164</v>
      </c>
    </row>
    <row r="7" spans="1:2" s="10" customFormat="1" ht="12" customHeight="1">
      <c r="A7" s="8">
        <v>6</v>
      </c>
      <c r="B7" s="9">
        <v>160</v>
      </c>
    </row>
    <row r="8" spans="1:2" s="10" customFormat="1" ht="12" customHeight="1">
      <c r="A8" s="8">
        <v>7</v>
      </c>
      <c r="B8" s="9">
        <v>152</v>
      </c>
    </row>
    <row r="9" spans="1:2" s="10" customFormat="1" ht="12" customHeight="1">
      <c r="A9" s="8">
        <v>8</v>
      </c>
      <c r="B9" s="9">
        <v>150</v>
      </c>
    </row>
    <row r="10" spans="1:2" s="10" customFormat="1" ht="12" customHeight="1">
      <c r="A10" s="8">
        <v>9</v>
      </c>
      <c r="B10" s="9">
        <v>159</v>
      </c>
    </row>
    <row r="11" spans="1:2" s="10" customFormat="1" ht="12" customHeight="1">
      <c r="A11" s="8">
        <v>10</v>
      </c>
      <c r="B11" s="9">
        <v>169</v>
      </c>
    </row>
    <row r="12" spans="1:2" s="10" customFormat="1" ht="12" customHeight="1">
      <c r="A12" s="8">
        <v>11</v>
      </c>
      <c r="B12" s="9">
        <v>173</v>
      </c>
    </row>
    <row r="13" spans="1:2" s="10" customFormat="1" ht="12" customHeight="1">
      <c r="A13" s="8">
        <v>12</v>
      </c>
      <c r="B13" s="9">
        <v>203</v>
      </c>
    </row>
    <row r="14" spans="1:2" s="10" customFormat="1" ht="12" customHeight="1">
      <c r="A14" s="8">
        <v>13</v>
      </c>
      <c r="B14" s="9">
        <v>169</v>
      </c>
    </row>
    <row r="15" spans="1:2" s="10" customFormat="1" ht="12" customHeight="1">
      <c r="A15" s="8">
        <v>14</v>
      </c>
      <c r="B15" s="9">
        <v>166</v>
      </c>
    </row>
    <row r="16" spans="1:2" s="10" customFormat="1" ht="12" customHeight="1">
      <c r="A16" s="8">
        <v>15</v>
      </c>
      <c r="B16" s="9">
        <v>162</v>
      </c>
    </row>
    <row r="17" spans="1:2" s="10" customFormat="1" ht="12" customHeight="1">
      <c r="A17" s="8">
        <v>16</v>
      </c>
      <c r="B17" s="9">
        <v>147</v>
      </c>
    </row>
    <row r="18" spans="1:2" s="10" customFormat="1" ht="12" customHeight="1">
      <c r="A18" s="8">
        <v>17</v>
      </c>
      <c r="B18" s="9">
        <v>188</v>
      </c>
    </row>
    <row r="19" spans="1:2" s="10" customFormat="1" ht="12" customHeight="1">
      <c r="A19" s="8">
        <v>18</v>
      </c>
      <c r="B19" s="9">
        <v>161</v>
      </c>
    </row>
    <row r="20" spans="1:2" s="10" customFormat="1" ht="12" customHeight="1">
      <c r="A20" s="8">
        <v>19</v>
      </c>
      <c r="B20" s="9">
        <v>162</v>
      </c>
    </row>
    <row r="21" spans="1:2" s="10" customFormat="1" ht="12" customHeight="1">
      <c r="A21" s="8">
        <v>20</v>
      </c>
      <c r="B21" s="9">
        <v>169</v>
      </c>
    </row>
    <row r="22" spans="1:2" s="10" customFormat="1" ht="12" customHeight="1">
      <c r="A22" s="8">
        <v>21</v>
      </c>
      <c r="B22" s="9">
        <v>185</v>
      </c>
    </row>
    <row r="23" spans="1:2" s="10" customFormat="1" ht="12" customHeight="1">
      <c r="A23" s="8">
        <v>22</v>
      </c>
      <c r="B23" s="9">
        <v>188</v>
      </c>
    </row>
    <row r="24" spans="1:2" s="10" customFormat="1" ht="12" customHeight="1">
      <c r="A24" s="8">
        <v>23</v>
      </c>
      <c r="B24" s="9">
        <v>200</v>
      </c>
    </row>
    <row r="25" spans="1:2" s="10" customFormat="1" ht="12" customHeight="1">
      <c r="A25" s="8">
        <v>24</v>
      </c>
      <c r="B25" s="9">
        <v>229</v>
      </c>
    </row>
    <row r="26" spans="1:2" s="10" customFormat="1" ht="12" customHeight="1">
      <c r="A26" s="8">
        <v>25</v>
      </c>
      <c r="B26" s="9">
        <v>189</v>
      </c>
    </row>
    <row r="27" spans="1:2" s="10" customFormat="1" ht="12" customHeight="1">
      <c r="A27" s="8">
        <v>26</v>
      </c>
      <c r="B27" s="9">
        <v>218</v>
      </c>
    </row>
    <row r="28" spans="1:2" s="10" customFormat="1" ht="12" customHeight="1">
      <c r="A28" s="8">
        <v>27</v>
      </c>
      <c r="B28" s="9">
        <v>185</v>
      </c>
    </row>
    <row r="29" spans="1:2" s="10" customFormat="1" ht="12" customHeight="1">
      <c r="A29" s="8">
        <v>28</v>
      </c>
      <c r="B29" s="9">
        <v>199</v>
      </c>
    </row>
    <row r="30" spans="1:2" s="10" customFormat="1" ht="12" customHeight="1">
      <c r="A30" s="8">
        <v>29</v>
      </c>
      <c r="B30" s="9">
        <v>210</v>
      </c>
    </row>
    <row r="31" spans="1:2" s="10" customFormat="1" ht="12" customHeight="1">
      <c r="A31" s="8">
        <v>30</v>
      </c>
      <c r="B31" s="9">
        <v>193</v>
      </c>
    </row>
    <row r="32" spans="1:2" s="10" customFormat="1" ht="12" customHeight="1">
      <c r="A32" s="8">
        <v>31</v>
      </c>
      <c r="B32" s="9">
        <v>211</v>
      </c>
    </row>
    <row r="33" spans="1:2" s="10" customFormat="1" ht="12" customHeight="1">
      <c r="A33" s="8">
        <v>32</v>
      </c>
      <c r="B33" s="9">
        <v>208</v>
      </c>
    </row>
    <row r="34" spans="1:2" s="10" customFormat="1" ht="12" customHeight="1">
      <c r="A34" s="8">
        <v>33</v>
      </c>
      <c r="B34" s="9">
        <v>216</v>
      </c>
    </row>
    <row r="35" spans="1:2" s="10" customFormat="1" ht="12" customHeight="1">
      <c r="A35" s="8">
        <v>34</v>
      </c>
      <c r="B35" s="9">
        <v>218</v>
      </c>
    </row>
    <row r="36" spans="1:2" s="10" customFormat="1" ht="12" customHeight="1">
      <c r="A36" s="8">
        <v>35</v>
      </c>
      <c r="B36" s="9">
        <v>264</v>
      </c>
    </row>
    <row r="37" spans="1:2" s="10" customFormat="1" ht="12" customHeight="1">
      <c r="A37" s="11">
        <v>36</v>
      </c>
      <c r="B37" s="12">
        <v>304</v>
      </c>
    </row>
    <row r="39" spans="1:2">
      <c r="A39" t="s">
        <v>8</v>
      </c>
      <c r="B39" s="6">
        <f>INDEX(LINEST(B2:B37,A2:A37,TRUE,TRUE),1,1)</f>
        <v>2.5386100386100385</v>
      </c>
    </row>
    <row r="40" spans="1:2">
      <c r="A40" t="s">
        <v>11</v>
      </c>
      <c r="B40" s="6">
        <f>INDEX(LINEST(B2:B37,A2:A37,TRUE,TRUE),2,1)</f>
        <v>0.34018172051263179</v>
      </c>
    </row>
    <row r="41" spans="1:2">
      <c r="A41" t="s">
        <v>9</v>
      </c>
      <c r="B41" s="3">
        <f>INDEX(LINEST(B2:B37,A2:A37,TRUE,TRUE),4,2)</f>
        <v>34</v>
      </c>
    </row>
    <row r="42" spans="1:2">
      <c r="A42" t="s">
        <v>10</v>
      </c>
      <c r="B42" s="7">
        <f>TDIST(ABS(B39/B40),B41,2)</f>
        <v>1.1694156537818746E-8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3"/>
  <sheetViews>
    <sheetView tabSelected="1" workbookViewId="0">
      <pane ySplit="4" topLeftCell="A5" activePane="bottomLeft" state="frozen"/>
      <selection pane="bottomLeft" activeCell="N29" sqref="N29"/>
    </sheetView>
  </sheetViews>
  <sheetFormatPr baseColWidth="10" defaultRowHeight="15" x14ac:dyDescent="0"/>
  <cols>
    <col min="3" max="3" width="16" customWidth="1"/>
  </cols>
  <sheetData>
    <row r="1" spans="1:6" ht="45">
      <c r="A1" t="s">
        <v>2</v>
      </c>
      <c r="C1" s="1" t="s">
        <v>12</v>
      </c>
      <c r="E1" t="s">
        <v>6</v>
      </c>
      <c r="F1" t="s">
        <v>7</v>
      </c>
    </row>
    <row r="2" spans="1:6">
      <c r="A2">
        <v>36</v>
      </c>
      <c r="C2">
        <v>0.73208981896753667</v>
      </c>
      <c r="E2" s="2">
        <f>SUM(F6:F41)</f>
        <v>14555.771064023978</v>
      </c>
      <c r="F2">
        <f>SQRT(E2/(36-1))</f>
        <v>20.393115830049805</v>
      </c>
    </row>
    <row r="4" spans="1:6">
      <c r="A4" s="13" t="s">
        <v>1</v>
      </c>
      <c r="B4" s="13" t="s">
        <v>0</v>
      </c>
      <c r="C4" s="15" t="s">
        <v>3</v>
      </c>
      <c r="D4" s="15" t="s">
        <v>13</v>
      </c>
      <c r="E4" s="15" t="s">
        <v>4</v>
      </c>
      <c r="F4" s="15" t="s">
        <v>5</v>
      </c>
    </row>
    <row r="5" spans="1:6">
      <c r="A5" s="16">
        <v>0</v>
      </c>
      <c r="B5" s="17"/>
      <c r="C5" s="18">
        <f>AVERAGE(B6:B17)</f>
        <v>163</v>
      </c>
      <c r="D5" s="18"/>
      <c r="E5" s="18"/>
      <c r="F5" s="18"/>
    </row>
    <row r="6" spans="1:6">
      <c r="A6" s="14">
        <v>1</v>
      </c>
      <c r="B6" s="14">
        <v>165</v>
      </c>
      <c r="C6">
        <f>C5+$C$2*E6</f>
        <v>164.46417963793508</v>
      </c>
      <c r="D6">
        <f>C5</f>
        <v>163</v>
      </c>
      <c r="E6">
        <f>B6-D6</f>
        <v>2</v>
      </c>
      <c r="F6">
        <f>E6^2</f>
        <v>4</v>
      </c>
    </row>
    <row r="7" spans="1:6">
      <c r="A7" s="14">
        <v>2</v>
      </c>
      <c r="B7" s="14">
        <v>171</v>
      </c>
      <c r="C7" s="19">
        <f t="shared" ref="C7:C41" si="0">C6+$C$2*E7</f>
        <v>169.24898718360353</v>
      </c>
      <c r="D7" s="19">
        <f t="shared" ref="D7:D41" si="1">C6</f>
        <v>164.46417963793508</v>
      </c>
      <c r="E7" s="19">
        <f t="shared" ref="E7:E41" si="2">B7-D7</f>
        <v>6.5358203620649249</v>
      </c>
      <c r="F7">
        <f t="shared" ref="F7:F41" si="3">E7^2</f>
        <v>42.716947805182485</v>
      </c>
    </row>
    <row r="8" spans="1:6">
      <c r="A8" s="14">
        <v>3</v>
      </c>
      <c r="B8" s="14">
        <v>147</v>
      </c>
      <c r="C8" s="19">
        <f t="shared" si="0"/>
        <v>152.96073018414819</v>
      </c>
      <c r="D8" s="19">
        <f t="shared" si="1"/>
        <v>169.24898718360353</v>
      </c>
      <c r="E8" s="19">
        <f t="shared" si="2"/>
        <v>-22.248987183603532</v>
      </c>
      <c r="F8">
        <f t="shared" si="3"/>
        <v>495.01743069615424</v>
      </c>
    </row>
    <row r="9" spans="1:6">
      <c r="A9" s="14">
        <v>4</v>
      </c>
      <c r="B9" s="14">
        <v>143</v>
      </c>
      <c r="C9" s="19">
        <f t="shared" si="0"/>
        <v>145.66858102685066</v>
      </c>
      <c r="D9" s="19">
        <f t="shared" si="1"/>
        <v>152.96073018414819</v>
      </c>
      <c r="E9" s="19">
        <f t="shared" si="2"/>
        <v>-9.9607301841481899</v>
      </c>
      <c r="F9">
        <f t="shared" si="3"/>
        <v>99.216145801400828</v>
      </c>
    </row>
    <row r="10" spans="1:6">
      <c r="A10" s="14">
        <v>5</v>
      </c>
      <c r="B10" s="14">
        <v>164</v>
      </c>
      <c r="C10" s="19">
        <f t="shared" si="0"/>
        <v>159.08882622432162</v>
      </c>
      <c r="D10" s="19">
        <f t="shared" si="1"/>
        <v>145.66858102685066</v>
      </c>
      <c r="E10" s="19">
        <f t="shared" si="2"/>
        <v>18.33141897314934</v>
      </c>
      <c r="F10">
        <f t="shared" si="3"/>
        <v>336.04092156913958</v>
      </c>
    </row>
    <row r="11" spans="1:6">
      <c r="A11" s="14">
        <v>6</v>
      </c>
      <c r="B11" s="14">
        <v>160</v>
      </c>
      <c r="C11" s="19">
        <f t="shared" si="0"/>
        <v>159.75588726880596</v>
      </c>
      <c r="D11" s="19">
        <f t="shared" si="1"/>
        <v>159.08882622432162</v>
      </c>
      <c r="E11" s="19">
        <f t="shared" si="2"/>
        <v>0.91117377567837821</v>
      </c>
      <c r="F11">
        <f t="shared" si="3"/>
        <v>0.83023764948399148</v>
      </c>
    </row>
    <row r="12" spans="1:6">
      <c r="A12" s="14">
        <v>7</v>
      </c>
      <c r="B12" s="14">
        <v>152</v>
      </c>
      <c r="C12" s="19">
        <f t="shared" si="0"/>
        <v>154.07788116225319</v>
      </c>
      <c r="D12" s="19">
        <f t="shared" si="1"/>
        <v>159.75588726880596</v>
      </c>
      <c r="E12" s="19">
        <f t="shared" si="2"/>
        <v>-7.7558872688059637</v>
      </c>
      <c r="F12">
        <f t="shared" si="3"/>
        <v>60.153787326426432</v>
      </c>
    </row>
    <row r="13" spans="1:6">
      <c r="A13" s="14">
        <v>8</v>
      </c>
      <c r="B13" s="14">
        <v>150</v>
      </c>
      <c r="C13" s="19">
        <f t="shared" si="0"/>
        <v>151.09250588040811</v>
      </c>
      <c r="D13" s="19">
        <f t="shared" si="1"/>
        <v>154.07788116225319</v>
      </c>
      <c r="E13" s="19">
        <f t="shared" si="2"/>
        <v>-4.0778811622531919</v>
      </c>
      <c r="F13">
        <f t="shared" si="3"/>
        <v>16.629114773459442</v>
      </c>
    </row>
    <row r="14" spans="1:6">
      <c r="A14" s="14">
        <v>9</v>
      </c>
      <c r="B14" s="14">
        <v>159</v>
      </c>
      <c r="C14" s="19">
        <f t="shared" si="0"/>
        <v>156.881501818907</v>
      </c>
      <c r="D14" s="19">
        <f t="shared" si="1"/>
        <v>151.09250588040811</v>
      </c>
      <c r="E14" s="19">
        <f t="shared" si="2"/>
        <v>7.9074941195918882</v>
      </c>
      <c r="F14">
        <f t="shared" si="3"/>
        <v>62.528463251380288</v>
      </c>
    </row>
    <row r="15" spans="1:6">
      <c r="A15" s="14">
        <v>10</v>
      </c>
      <c r="B15" s="14">
        <v>169</v>
      </c>
      <c r="C15" s="19">
        <f t="shared" si="0"/>
        <v>165.75333095846179</v>
      </c>
      <c r="D15" s="19">
        <f t="shared" si="1"/>
        <v>156.881501818907</v>
      </c>
      <c r="E15" s="19">
        <f t="shared" si="2"/>
        <v>12.118498181093003</v>
      </c>
      <c r="F15">
        <f t="shared" si="3"/>
        <v>146.85799816515441</v>
      </c>
    </row>
    <row r="16" spans="1:6">
      <c r="A16" s="14">
        <v>11</v>
      </c>
      <c r="B16" s="14">
        <v>173</v>
      </c>
      <c r="C16" s="19">
        <f t="shared" si="0"/>
        <v>171.05854358519915</v>
      </c>
      <c r="D16" s="19">
        <f t="shared" si="1"/>
        <v>165.75333095846179</v>
      </c>
      <c r="E16" s="19">
        <f t="shared" si="2"/>
        <v>7.2466690415382118</v>
      </c>
      <c r="F16">
        <f t="shared" si="3"/>
        <v>52.514212197588343</v>
      </c>
    </row>
    <row r="17" spans="1:6">
      <c r="A17" s="14">
        <v>12</v>
      </c>
      <c r="B17" s="14">
        <v>203</v>
      </c>
      <c r="C17" s="19">
        <f t="shared" si="0"/>
        <v>194.44255862947017</v>
      </c>
      <c r="D17" s="19">
        <f t="shared" si="1"/>
        <v>171.05854358519915</v>
      </c>
      <c r="E17" s="19">
        <f t="shared" si="2"/>
        <v>31.941456414800854</v>
      </c>
      <c r="F17">
        <f t="shared" si="3"/>
        <v>1020.2566378986226</v>
      </c>
    </row>
    <row r="18" spans="1:6">
      <c r="A18" s="14">
        <v>13</v>
      </c>
      <c r="B18" s="14">
        <v>169</v>
      </c>
      <c r="C18" s="19">
        <f t="shared" si="0"/>
        <v>175.81632048835041</v>
      </c>
      <c r="D18" s="19">
        <f t="shared" si="1"/>
        <v>194.44255862947017</v>
      </c>
      <c r="E18" s="19">
        <f t="shared" si="2"/>
        <v>-25.44255862947017</v>
      </c>
      <c r="F18">
        <f t="shared" si="3"/>
        <v>647.32378961402708</v>
      </c>
    </row>
    <row r="19" spans="1:6">
      <c r="A19" s="14">
        <v>14</v>
      </c>
      <c r="B19" s="14">
        <v>166</v>
      </c>
      <c r="C19" s="19">
        <f t="shared" si="0"/>
        <v>168.62989219910665</v>
      </c>
      <c r="D19" s="19">
        <f t="shared" si="1"/>
        <v>175.81632048835041</v>
      </c>
      <c r="E19" s="19">
        <f t="shared" si="2"/>
        <v>-9.8163204883504136</v>
      </c>
      <c r="F19">
        <f t="shared" si="3"/>
        <v>96.360147930008097</v>
      </c>
    </row>
    <row r="20" spans="1:6">
      <c r="A20" s="14">
        <v>15</v>
      </c>
      <c r="B20" s="14">
        <v>162</v>
      </c>
      <c r="C20" s="19">
        <f t="shared" si="0"/>
        <v>163.77621561928837</v>
      </c>
      <c r="D20" s="19">
        <f t="shared" si="1"/>
        <v>168.62989219910665</v>
      </c>
      <c r="E20" s="19">
        <f t="shared" si="2"/>
        <v>-6.6298921991066493</v>
      </c>
      <c r="F20">
        <f t="shared" si="3"/>
        <v>43.955470571775201</v>
      </c>
    </row>
    <row r="21" spans="1:6">
      <c r="A21" s="14">
        <v>16</v>
      </c>
      <c r="B21" s="14">
        <v>147</v>
      </c>
      <c r="C21" s="19">
        <f t="shared" si="0"/>
        <v>151.49451896360318</v>
      </c>
      <c r="D21" s="19">
        <f t="shared" si="1"/>
        <v>163.77621561928837</v>
      </c>
      <c r="E21" s="19">
        <f t="shared" si="2"/>
        <v>-16.776215619288365</v>
      </c>
      <c r="F21">
        <f t="shared" si="3"/>
        <v>281.4414105048549</v>
      </c>
    </row>
    <row r="22" spans="1:6">
      <c r="A22" s="14">
        <v>17</v>
      </c>
      <c r="B22" s="14">
        <v>188</v>
      </c>
      <c r="C22" s="19">
        <f t="shared" si="0"/>
        <v>178.21980996686176</v>
      </c>
      <c r="D22" s="19">
        <f t="shared" si="1"/>
        <v>151.49451896360318</v>
      </c>
      <c r="E22" s="19">
        <f t="shared" si="2"/>
        <v>36.505481036396816</v>
      </c>
      <c r="F22">
        <f t="shared" si="3"/>
        <v>1332.6501456987276</v>
      </c>
    </row>
    <row r="23" spans="1:6">
      <c r="A23" s="14">
        <v>18</v>
      </c>
      <c r="B23" s="14">
        <v>161</v>
      </c>
      <c r="C23" s="19">
        <f t="shared" si="0"/>
        <v>165.61336240556656</v>
      </c>
      <c r="D23" s="19">
        <f t="shared" si="1"/>
        <v>178.21980996686176</v>
      </c>
      <c r="E23" s="19">
        <f t="shared" si="2"/>
        <v>-17.21980996686176</v>
      </c>
      <c r="F23">
        <f t="shared" si="3"/>
        <v>296.5218552948316</v>
      </c>
    </row>
    <row r="24" spans="1:6">
      <c r="A24" s="14">
        <v>19</v>
      </c>
      <c r="B24" s="14">
        <v>162</v>
      </c>
      <c r="C24" s="19">
        <f t="shared" si="0"/>
        <v>162.96805657621124</v>
      </c>
      <c r="D24" s="19">
        <f t="shared" si="1"/>
        <v>165.61336240556656</v>
      </c>
      <c r="E24" s="19">
        <f t="shared" si="2"/>
        <v>-3.6133624055665621</v>
      </c>
      <c r="F24">
        <f t="shared" si="3"/>
        <v>13.056387873961771</v>
      </c>
    </row>
    <row r="25" spans="1:6">
      <c r="A25" s="14">
        <v>20</v>
      </c>
      <c r="B25" s="14">
        <v>169</v>
      </c>
      <c r="C25" s="19">
        <f t="shared" si="0"/>
        <v>167.38398094535518</v>
      </c>
      <c r="D25" s="19">
        <f t="shared" si="1"/>
        <v>162.96805657621124</v>
      </c>
      <c r="E25" s="19">
        <f t="shared" si="2"/>
        <v>6.0319434237887606</v>
      </c>
      <c r="F25">
        <f t="shared" si="3"/>
        <v>36.384341467788474</v>
      </c>
    </row>
    <row r="26" spans="1:6">
      <c r="A26" s="14">
        <v>21</v>
      </c>
      <c r="B26" s="14">
        <v>185</v>
      </c>
      <c r="C26" s="19">
        <f t="shared" si="0"/>
        <v>180.28048914599879</v>
      </c>
      <c r="D26" s="19">
        <f t="shared" si="1"/>
        <v>167.38398094535518</v>
      </c>
      <c r="E26" s="19">
        <f t="shared" si="2"/>
        <v>17.616019054644823</v>
      </c>
      <c r="F26">
        <f t="shared" si="3"/>
        <v>310.32412733360951</v>
      </c>
    </row>
    <row r="27" spans="1:6">
      <c r="A27" s="14">
        <v>22</v>
      </c>
      <c r="B27" s="14">
        <v>188</v>
      </c>
      <c r="C27" s="19">
        <f t="shared" si="0"/>
        <v>185.93186444962248</v>
      </c>
      <c r="D27" s="19">
        <f t="shared" si="1"/>
        <v>180.28048914599879</v>
      </c>
      <c r="E27" s="19">
        <f t="shared" si="2"/>
        <v>7.7195108540012143</v>
      </c>
      <c r="F27">
        <f t="shared" si="3"/>
        <v>59.590847825042559</v>
      </c>
    </row>
    <row r="28" spans="1:6">
      <c r="A28" s="14">
        <v>23</v>
      </c>
      <c r="B28" s="14">
        <v>200</v>
      </c>
      <c r="C28" s="19">
        <f t="shared" si="0"/>
        <v>196.23100325790912</v>
      </c>
      <c r="D28" s="19">
        <f t="shared" si="1"/>
        <v>185.93186444962248</v>
      </c>
      <c r="E28" s="19">
        <f t="shared" si="2"/>
        <v>14.068135550377519</v>
      </c>
      <c r="F28">
        <f t="shared" si="3"/>
        <v>197.91243786379579</v>
      </c>
    </row>
    <row r="29" spans="1:6">
      <c r="A29" s="14">
        <v>24</v>
      </c>
      <c r="B29" s="14">
        <v>229</v>
      </c>
      <c r="C29" s="19">
        <f t="shared" si="0"/>
        <v>220.22085215057422</v>
      </c>
      <c r="D29" s="19">
        <f t="shared" si="1"/>
        <v>196.23100325790912</v>
      </c>
      <c r="E29" s="19">
        <f t="shared" si="2"/>
        <v>32.768996742090877</v>
      </c>
      <c r="F29">
        <f t="shared" si="3"/>
        <v>1073.8071474831625</v>
      </c>
    </row>
    <row r="30" spans="1:6">
      <c r="A30" s="14">
        <v>25</v>
      </c>
      <c r="B30" s="14">
        <v>189</v>
      </c>
      <c r="C30" s="19">
        <f t="shared" si="0"/>
        <v>197.3643841516481</v>
      </c>
      <c r="D30" s="19">
        <f t="shared" si="1"/>
        <v>220.22085215057422</v>
      </c>
      <c r="E30" s="19">
        <f t="shared" si="2"/>
        <v>-31.220852150574217</v>
      </c>
      <c r="F30">
        <f t="shared" si="3"/>
        <v>974.74160900801473</v>
      </c>
    </row>
    <row r="31" spans="1:6">
      <c r="A31" s="14">
        <v>26</v>
      </c>
      <c r="B31" s="14">
        <v>218</v>
      </c>
      <c r="C31" s="19">
        <f t="shared" si="0"/>
        <v>212.47150842235166</v>
      </c>
      <c r="D31" s="19">
        <f t="shared" si="1"/>
        <v>197.3643841516481</v>
      </c>
      <c r="E31" s="19">
        <f t="shared" si="2"/>
        <v>20.635615848351904</v>
      </c>
      <c r="F31">
        <f t="shared" si="3"/>
        <v>425.82864144075228</v>
      </c>
    </row>
    <row r="32" spans="1:6">
      <c r="A32" s="14">
        <v>27</v>
      </c>
      <c r="B32" s="14">
        <v>185</v>
      </c>
      <c r="C32" s="19">
        <f t="shared" si="0"/>
        <v>192.35989679466707</v>
      </c>
      <c r="D32" s="19">
        <f t="shared" si="1"/>
        <v>212.47150842235166</v>
      </c>
      <c r="E32" s="19">
        <f t="shared" si="2"/>
        <v>-27.471508422351661</v>
      </c>
      <c r="F32">
        <f t="shared" si="3"/>
        <v>754.68377499933831</v>
      </c>
    </row>
    <row r="33" spans="1:6">
      <c r="A33" s="14">
        <v>28</v>
      </c>
      <c r="B33" s="14">
        <v>199</v>
      </c>
      <c r="C33" s="19">
        <f t="shared" si="0"/>
        <v>197.22104874818501</v>
      </c>
      <c r="D33" s="19">
        <f t="shared" si="1"/>
        <v>192.35989679466707</v>
      </c>
      <c r="E33" s="19">
        <f t="shared" si="2"/>
        <v>6.6401032053329345</v>
      </c>
      <c r="F33">
        <f t="shared" si="3"/>
        <v>44.09097057747271</v>
      </c>
    </row>
    <row r="34" spans="1:6">
      <c r="A34" s="14">
        <v>29</v>
      </c>
      <c r="B34" s="14">
        <v>210</v>
      </c>
      <c r="C34" s="19">
        <f t="shared" si="0"/>
        <v>206.57638885672122</v>
      </c>
      <c r="D34" s="19">
        <f t="shared" si="1"/>
        <v>197.22104874818501</v>
      </c>
      <c r="E34" s="19">
        <f t="shared" si="2"/>
        <v>12.778951251814988</v>
      </c>
      <c r="F34">
        <f t="shared" si="3"/>
        <v>163.30159509626384</v>
      </c>
    </row>
    <row r="35" spans="1:6">
      <c r="A35" s="14">
        <v>30</v>
      </c>
      <c r="B35" s="14">
        <v>193</v>
      </c>
      <c r="C35" s="19">
        <f t="shared" si="0"/>
        <v>196.63725279637131</v>
      </c>
      <c r="D35" s="19">
        <f t="shared" si="1"/>
        <v>206.57638885672122</v>
      </c>
      <c r="E35" s="19">
        <f t="shared" si="2"/>
        <v>-13.576388856721223</v>
      </c>
      <c r="F35">
        <f t="shared" si="3"/>
        <v>184.31833438890422</v>
      </c>
    </row>
    <row r="36" spans="1:6">
      <c r="A36" s="14">
        <v>31</v>
      </c>
      <c r="B36" s="14">
        <v>211</v>
      </c>
      <c r="C36" s="19">
        <f t="shared" si="0"/>
        <v>207.15207379655234</v>
      </c>
      <c r="D36" s="19">
        <f t="shared" si="1"/>
        <v>196.63725279637131</v>
      </c>
      <c r="E36" s="19">
        <f t="shared" si="2"/>
        <v>14.362747203628686</v>
      </c>
      <c r="F36">
        <f t="shared" si="3"/>
        <v>206.28850723534364</v>
      </c>
    </row>
    <row r="37" spans="1:6">
      <c r="A37" s="14">
        <v>32</v>
      </c>
      <c r="B37" s="14">
        <v>208</v>
      </c>
      <c r="C37" s="19">
        <f t="shared" si="0"/>
        <v>207.77283193733217</v>
      </c>
      <c r="D37" s="19">
        <f t="shared" si="1"/>
        <v>207.15207379655234</v>
      </c>
      <c r="E37" s="19">
        <f t="shared" si="2"/>
        <v>0.84792620344765623</v>
      </c>
      <c r="F37">
        <f t="shared" si="3"/>
        <v>0.71897884649315613</v>
      </c>
    </row>
    <row r="38" spans="1:6">
      <c r="A38" s="14">
        <v>33</v>
      </c>
      <c r="B38" s="14">
        <v>216</v>
      </c>
      <c r="C38" s="19">
        <f t="shared" si="0"/>
        <v>213.79585791494617</v>
      </c>
      <c r="D38" s="19">
        <f t="shared" si="1"/>
        <v>207.77283193733217</v>
      </c>
      <c r="E38" s="19">
        <f t="shared" si="2"/>
        <v>8.227168062667829</v>
      </c>
      <c r="F38">
        <f t="shared" si="3"/>
        <v>67.686294331381518</v>
      </c>
    </row>
    <row r="39" spans="1:6">
      <c r="A39" s="14">
        <v>34</v>
      </c>
      <c r="B39" s="14">
        <v>218</v>
      </c>
      <c r="C39" s="19">
        <f t="shared" si="0"/>
        <v>216.87366753290704</v>
      </c>
      <c r="D39" s="19">
        <f t="shared" si="1"/>
        <v>213.79585791494617</v>
      </c>
      <c r="E39" s="19">
        <f t="shared" si="2"/>
        <v>4.2041420850538316</v>
      </c>
      <c r="F39">
        <f t="shared" si="3"/>
        <v>17.674810671320778</v>
      </c>
    </row>
    <row r="40" spans="1:6">
      <c r="A40" s="14">
        <v>35</v>
      </c>
      <c r="B40" s="14">
        <v>264</v>
      </c>
      <c r="C40" s="19">
        <f t="shared" si="0"/>
        <v>251.37437573734508</v>
      </c>
      <c r="D40" s="19">
        <f t="shared" si="1"/>
        <v>216.87366753290704</v>
      </c>
      <c r="E40" s="19">
        <f t="shared" si="2"/>
        <v>47.126332467092965</v>
      </c>
      <c r="F40">
        <f t="shared" si="3"/>
        <v>2220.8912117989803</v>
      </c>
    </row>
    <row r="41" spans="1:6">
      <c r="A41" s="14">
        <v>36</v>
      </c>
      <c r="B41" s="14">
        <v>304</v>
      </c>
      <c r="C41" s="19">
        <f t="shared" si="0"/>
        <v>289.90105947684572</v>
      </c>
      <c r="D41" s="19">
        <f t="shared" si="1"/>
        <v>251.37437573734508</v>
      </c>
      <c r="E41" s="19">
        <f t="shared" si="2"/>
        <v>52.625624262654924</v>
      </c>
      <c r="F41">
        <f t="shared" si="3"/>
        <v>2769.4563290341348</v>
      </c>
    </row>
    <row r="42" spans="1:6">
      <c r="A42" s="14">
        <v>37</v>
      </c>
      <c r="B42" s="19">
        <f>C$41</f>
        <v>289.90105947684572</v>
      </c>
      <c r="C42" s="19"/>
      <c r="D42" s="19"/>
      <c r="E42" s="19"/>
    </row>
    <row r="43" spans="1:6">
      <c r="A43" s="14">
        <v>38</v>
      </c>
      <c r="B43" s="19">
        <f t="shared" ref="B43:B53" si="4">C$41</f>
        <v>289.90105947684572</v>
      </c>
      <c r="C43" s="19"/>
      <c r="D43" s="19"/>
      <c r="E43" s="19"/>
    </row>
    <row r="44" spans="1:6">
      <c r="A44" s="14">
        <v>39</v>
      </c>
      <c r="B44" s="19">
        <f t="shared" si="4"/>
        <v>289.90105947684572</v>
      </c>
      <c r="C44" s="19"/>
      <c r="D44" s="19"/>
      <c r="E44" s="19"/>
    </row>
    <row r="45" spans="1:6">
      <c r="A45" s="14">
        <v>40</v>
      </c>
      <c r="B45" s="19">
        <f t="shared" si="4"/>
        <v>289.90105947684572</v>
      </c>
      <c r="C45" s="19"/>
      <c r="D45" s="19"/>
      <c r="E45" s="19"/>
    </row>
    <row r="46" spans="1:6">
      <c r="A46" s="14">
        <v>41</v>
      </c>
      <c r="B46" s="19">
        <f t="shared" si="4"/>
        <v>289.90105947684572</v>
      </c>
      <c r="C46" s="19"/>
      <c r="D46" s="19"/>
      <c r="E46" s="19"/>
    </row>
    <row r="47" spans="1:6">
      <c r="A47" s="14">
        <v>42</v>
      </c>
      <c r="B47" s="19">
        <f t="shared" si="4"/>
        <v>289.90105947684572</v>
      </c>
      <c r="C47" s="19"/>
      <c r="D47" s="19"/>
      <c r="E47" s="19"/>
    </row>
    <row r="48" spans="1:6">
      <c r="A48" s="14">
        <v>43</v>
      </c>
      <c r="B48" s="19">
        <f t="shared" si="4"/>
        <v>289.90105947684572</v>
      </c>
      <c r="C48" s="19"/>
      <c r="D48" s="19"/>
      <c r="E48" s="19"/>
    </row>
    <row r="49" spans="1:5">
      <c r="A49" s="14">
        <v>44</v>
      </c>
      <c r="B49" s="19">
        <f t="shared" si="4"/>
        <v>289.90105947684572</v>
      </c>
      <c r="C49" s="19"/>
      <c r="D49" s="19"/>
      <c r="E49" s="19"/>
    </row>
    <row r="50" spans="1:5">
      <c r="A50" s="14">
        <v>45</v>
      </c>
      <c r="B50" s="19">
        <f t="shared" si="4"/>
        <v>289.90105947684572</v>
      </c>
      <c r="C50" s="19"/>
      <c r="D50" s="19"/>
      <c r="E50" s="19"/>
    </row>
    <row r="51" spans="1:5">
      <c r="A51" s="14">
        <v>46</v>
      </c>
      <c r="B51" s="19">
        <f t="shared" si="4"/>
        <v>289.90105947684572</v>
      </c>
      <c r="C51" s="19"/>
      <c r="D51" s="19"/>
      <c r="E51" s="19"/>
    </row>
    <row r="52" spans="1:5">
      <c r="A52" s="14">
        <v>47</v>
      </c>
      <c r="B52" s="19">
        <f t="shared" si="4"/>
        <v>289.90105947684572</v>
      </c>
      <c r="C52" s="19"/>
      <c r="D52" s="19"/>
      <c r="E52" s="19"/>
    </row>
    <row r="53" spans="1:5">
      <c r="A53" s="14">
        <v>48</v>
      </c>
      <c r="B53" s="19">
        <f t="shared" si="4"/>
        <v>289.90105947684572</v>
      </c>
      <c r="C53" s="19"/>
      <c r="D53" s="19"/>
      <c r="E53" s="19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Timeseries</vt:lpstr>
      <vt:lpstr>SES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Joe Chong</cp:lastModifiedBy>
  <dcterms:created xsi:type="dcterms:W3CDTF">2013-04-01T16:41:05Z</dcterms:created>
  <dcterms:modified xsi:type="dcterms:W3CDTF">2014-04-13T15:28:02Z</dcterms:modified>
</cp:coreProperties>
</file>
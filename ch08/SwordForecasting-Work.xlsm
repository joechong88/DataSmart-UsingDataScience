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6240" yWindow="-20400" windowWidth="25600" windowHeight="16060" tabRatio="953" activeTab="9"/>
  </bookViews>
  <sheets>
    <sheet name="Timeseries" sheetId="2" r:id="rId1"/>
    <sheet name="SES" sheetId="20" r:id="rId2"/>
    <sheet name="Holt'sTrend-Corrected" sheetId="21" r:id="rId3"/>
    <sheet name="Holt's Autocorrelation" sheetId="22" r:id="rId4"/>
    <sheet name="How To Holt-Winter" sheetId="23" r:id="rId5"/>
    <sheet name="HoltWintersInitial" sheetId="24" r:id="rId6"/>
    <sheet name="HoltWintersSeasonal" sheetId="25" r:id="rId7"/>
    <sheet name="HW Autocorrelation" sheetId="26" r:id="rId8"/>
    <sheet name="PredictionIntervals" sheetId="27" r:id="rId9"/>
    <sheet name="Fan Chart" sheetId="28" r:id="rId10"/>
  </sheets>
  <definedNames>
    <definedName name="solver_adj" localSheetId="2" hidden="1">'Holt''sTrend-Corrected'!$C$2:$D$2</definedName>
    <definedName name="solver_adj" localSheetId="6" hidden="1">HoltWintersSeasonal!$C$2:$E$2</definedName>
    <definedName name="solver_adj" localSheetId="8" hidden="1">PredictionIntervals!$C$2:$E$2</definedName>
    <definedName name="solver_adj" localSheetId="1" hidden="1">SES!$C$2</definedName>
    <definedName name="solver_cvg" localSheetId="2" hidden="1">0.0001</definedName>
    <definedName name="solver_cvg" localSheetId="6" hidden="1">0.0001</definedName>
    <definedName name="solver_cvg" localSheetId="8" hidden="1">0.0001</definedName>
    <definedName name="solver_cvg" localSheetId="1" hidden="1">0.0001</definedName>
    <definedName name="solver_drv" localSheetId="2" hidden="1">1</definedName>
    <definedName name="solver_drv" localSheetId="6" hidden="1">1</definedName>
    <definedName name="solver_drv" localSheetId="8" hidden="1">1</definedName>
    <definedName name="solver_drv" localSheetId="1" hidden="1">1</definedName>
    <definedName name="solver_eng" localSheetId="2" hidden="1">3</definedName>
    <definedName name="solver_eng" localSheetId="6" hidden="1">3</definedName>
    <definedName name="solver_eng" localSheetId="8" hidden="1">3</definedName>
    <definedName name="solver_eng" localSheetId="1" hidden="1">3</definedName>
    <definedName name="solver_itr" localSheetId="2" hidden="1">2147483647</definedName>
    <definedName name="solver_itr" localSheetId="6" hidden="1">2147483647</definedName>
    <definedName name="solver_itr" localSheetId="8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6" hidden="1">HoltWintersSeasonal!$C$2:$E$2</definedName>
    <definedName name="solver_lhs1" localSheetId="8" hidden="1">PredictionIntervals!$C$2:$E$2</definedName>
    <definedName name="solver_lhs1" localSheetId="1" hidden="1">SES!$C$2</definedName>
    <definedName name="solver_lin" localSheetId="2" hidden="1">2</definedName>
    <definedName name="solver_lin" localSheetId="6" hidden="1">2</definedName>
    <definedName name="solver_lin" localSheetId="8" hidden="1">2</definedName>
    <definedName name="solver_lin" localSheetId="1" hidden="1">2</definedName>
    <definedName name="solver_mip" localSheetId="2" hidden="1">2147483647</definedName>
    <definedName name="solver_mip" localSheetId="6" hidden="1">2147483647</definedName>
    <definedName name="solver_mip" localSheetId="8" hidden="1">2147483647</definedName>
    <definedName name="solver_mip" localSheetId="1" hidden="1">2147483647</definedName>
    <definedName name="solver_mni" localSheetId="2" hidden="1">30</definedName>
    <definedName name="solver_mni" localSheetId="6" hidden="1">30</definedName>
    <definedName name="solver_mni" localSheetId="8" hidden="1">30</definedName>
    <definedName name="solver_mni" localSheetId="1" hidden="1">30</definedName>
    <definedName name="solver_mrt" localSheetId="2" hidden="1">0.075</definedName>
    <definedName name="solver_mrt" localSheetId="6" hidden="1">0.075</definedName>
    <definedName name="solver_mrt" localSheetId="8" hidden="1">0.075</definedName>
    <definedName name="solver_mrt" localSheetId="1" hidden="1">0.075</definedName>
    <definedName name="solver_msl" localSheetId="2" hidden="1">2</definedName>
    <definedName name="solver_msl" localSheetId="6" hidden="1">2</definedName>
    <definedName name="solver_msl" localSheetId="8" hidden="1">2</definedName>
    <definedName name="solver_msl" localSheetId="1" hidden="1">2</definedName>
    <definedName name="solver_neg" localSheetId="2" hidden="1">1</definedName>
    <definedName name="solver_neg" localSheetId="6" hidden="1">1</definedName>
    <definedName name="solver_neg" localSheetId="8" hidden="1">1</definedName>
    <definedName name="solver_neg" localSheetId="1" hidden="1">1</definedName>
    <definedName name="solver_nod" localSheetId="2" hidden="1">2147483647</definedName>
    <definedName name="solver_nod" localSheetId="6" hidden="1">2147483647</definedName>
    <definedName name="solver_nod" localSheetId="8" hidden="1">2147483647</definedName>
    <definedName name="solver_nod" localSheetId="1" hidden="1">2147483647</definedName>
    <definedName name="solver_num" localSheetId="2" hidden="1">1</definedName>
    <definedName name="solver_num" localSheetId="6" hidden="1">1</definedName>
    <definedName name="solver_num" localSheetId="8" hidden="1">1</definedName>
    <definedName name="solver_num" localSheetId="1" hidden="1">1</definedName>
    <definedName name="solver_opt" localSheetId="2" hidden="1">'Holt''sTrend-Corrected'!$G$2</definedName>
    <definedName name="solver_opt" localSheetId="6" hidden="1">HoltWintersSeasonal!$H$2</definedName>
    <definedName name="solver_opt" localSheetId="8" hidden="1">PredictionIntervals!$H$2</definedName>
    <definedName name="solver_opt" localSheetId="1" hidden="1">SES!$F$2</definedName>
    <definedName name="solver_pre" localSheetId="2" hidden="1">0.000001</definedName>
    <definedName name="solver_pre" localSheetId="6" hidden="1">0.000001</definedName>
    <definedName name="solver_pre" localSheetId="8" hidden="1">0.000001</definedName>
    <definedName name="solver_pre" localSheetId="1" hidden="1">0.000001</definedName>
    <definedName name="solver_rbv" localSheetId="2" hidden="1">1</definedName>
    <definedName name="solver_rbv" localSheetId="6" hidden="1">1</definedName>
    <definedName name="solver_rbv" localSheetId="8" hidden="1">1</definedName>
    <definedName name="solver_rbv" localSheetId="1" hidden="1">1</definedName>
    <definedName name="solver_rel1" localSheetId="2" hidden="1">1</definedName>
    <definedName name="solver_rel1" localSheetId="6" hidden="1">1</definedName>
    <definedName name="solver_rel1" localSheetId="8" hidden="1">1</definedName>
    <definedName name="solver_rel1" localSheetId="1" hidden="1">1</definedName>
    <definedName name="solver_rhs1" localSheetId="2" hidden="1">1</definedName>
    <definedName name="solver_rhs1" localSheetId="6" hidden="1">1</definedName>
    <definedName name="solver_rhs1" localSheetId="8" hidden="1">1</definedName>
    <definedName name="solver_rhs1" localSheetId="1" hidden="1">1</definedName>
    <definedName name="solver_rlx" localSheetId="2" hidden="1">2</definedName>
    <definedName name="solver_rlx" localSheetId="6" hidden="1">2</definedName>
    <definedName name="solver_rlx" localSheetId="8" hidden="1">2</definedName>
    <definedName name="solver_rlx" localSheetId="1" hidden="1">2</definedName>
    <definedName name="solver_rsd" localSheetId="2" hidden="1">0</definedName>
    <definedName name="solver_rsd" localSheetId="6" hidden="1">0</definedName>
    <definedName name="solver_rsd" localSheetId="8" hidden="1">0</definedName>
    <definedName name="solver_rsd" localSheetId="1" hidden="1">0</definedName>
    <definedName name="solver_scl" localSheetId="2" hidden="1">1</definedName>
    <definedName name="solver_scl" localSheetId="6" hidden="1">1</definedName>
    <definedName name="solver_scl" localSheetId="8" hidden="1">1</definedName>
    <definedName name="solver_scl" localSheetId="1" hidden="1">1</definedName>
    <definedName name="solver_sho" localSheetId="2" hidden="1">2</definedName>
    <definedName name="solver_sho" localSheetId="6" hidden="1">2</definedName>
    <definedName name="solver_sho" localSheetId="8" hidden="1">2</definedName>
    <definedName name="solver_sho" localSheetId="1" hidden="1">2</definedName>
    <definedName name="solver_ssz" localSheetId="2" hidden="1">100</definedName>
    <definedName name="solver_ssz" localSheetId="6" hidden="1">100</definedName>
    <definedName name="solver_ssz" localSheetId="8" hidden="1">100</definedName>
    <definedName name="solver_ssz" localSheetId="1" hidden="1">100</definedName>
    <definedName name="solver_tim" localSheetId="2" hidden="1">2147483647</definedName>
    <definedName name="solver_tim" localSheetId="6" hidden="1">2147483647</definedName>
    <definedName name="solver_tim" localSheetId="8" hidden="1">2147483647</definedName>
    <definedName name="solver_tim" localSheetId="1" hidden="1">2147483647</definedName>
    <definedName name="solver_tol" localSheetId="2" hidden="1">0.01</definedName>
    <definedName name="solver_tol" localSheetId="6" hidden="1">0.01</definedName>
    <definedName name="solver_tol" localSheetId="8" hidden="1">0.01</definedName>
    <definedName name="solver_tol" localSheetId="1" hidden="1">0.01</definedName>
    <definedName name="solver_typ" localSheetId="2" hidden="1">2</definedName>
    <definedName name="solver_typ" localSheetId="6" hidden="1">2</definedName>
    <definedName name="solver_typ" localSheetId="8" hidden="1">2</definedName>
    <definedName name="solver_typ" localSheetId="1" hidden="1">2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1" hidden="1">0</definedName>
    <definedName name="solver_ver" localSheetId="2" hidden="1">2</definedName>
    <definedName name="solver_ver" localSheetId="6" hidden="1">2</definedName>
    <definedName name="solver_ver" localSheetId="8" hidden="1">2</definedName>
    <definedName name="solver_ver" localSheetId="1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7" i="27" l="1"/>
  <c r="K67" i="27"/>
  <c r="J67" i="27"/>
  <c r="I67" i="27"/>
  <c r="H67" i="27"/>
  <c r="G67" i="27"/>
  <c r="F67" i="27"/>
  <c r="E67" i="27"/>
  <c r="D67" i="27"/>
  <c r="C67" i="27"/>
  <c r="B67" i="27"/>
  <c r="L66" i="27"/>
  <c r="K66" i="27"/>
  <c r="J66" i="27"/>
  <c r="I66" i="27"/>
  <c r="H66" i="27"/>
  <c r="G66" i="27"/>
  <c r="F66" i="27"/>
  <c r="E66" i="27"/>
  <c r="D66" i="27"/>
  <c r="C66" i="27"/>
  <c r="B66" i="27"/>
  <c r="A67" i="27"/>
  <c r="A66" i="27"/>
  <c r="F17" i="27"/>
  <c r="G17" i="27"/>
  <c r="H17" i="27"/>
  <c r="C17" i="27"/>
  <c r="D17" i="27"/>
  <c r="F18" i="27"/>
  <c r="G18" i="27"/>
  <c r="H18" i="27"/>
  <c r="C18" i="27"/>
  <c r="D18" i="27"/>
  <c r="F19" i="27"/>
  <c r="G19" i="27"/>
  <c r="H19" i="27"/>
  <c r="C19" i="27"/>
  <c r="D19" i="27"/>
  <c r="F20" i="27"/>
  <c r="G20" i="27"/>
  <c r="H20" i="27"/>
  <c r="C20" i="27"/>
  <c r="D20" i="27"/>
  <c r="F21" i="27"/>
  <c r="G21" i="27"/>
  <c r="H21" i="27"/>
  <c r="C21" i="27"/>
  <c r="D21" i="27"/>
  <c r="F22" i="27"/>
  <c r="G22" i="27"/>
  <c r="H22" i="27"/>
  <c r="C22" i="27"/>
  <c r="D22" i="27"/>
  <c r="F23" i="27"/>
  <c r="G23" i="27"/>
  <c r="H23" i="27"/>
  <c r="C23" i="27"/>
  <c r="D23" i="27"/>
  <c r="F24" i="27"/>
  <c r="G24" i="27"/>
  <c r="H24" i="27"/>
  <c r="C24" i="27"/>
  <c r="D24" i="27"/>
  <c r="F25" i="27"/>
  <c r="G25" i="27"/>
  <c r="H25" i="27"/>
  <c r="C25" i="27"/>
  <c r="D25" i="27"/>
  <c r="F26" i="27"/>
  <c r="G26" i="27"/>
  <c r="H26" i="27"/>
  <c r="C26" i="27"/>
  <c r="D26" i="27"/>
  <c r="F27" i="27"/>
  <c r="G27" i="27"/>
  <c r="H27" i="27"/>
  <c r="C27" i="27"/>
  <c r="D27" i="27"/>
  <c r="F28" i="27"/>
  <c r="G28" i="27"/>
  <c r="H28" i="27"/>
  <c r="C28" i="27"/>
  <c r="D28" i="27"/>
  <c r="E17" i="27"/>
  <c r="F29" i="27"/>
  <c r="G29" i="27"/>
  <c r="H29" i="27"/>
  <c r="C29" i="27"/>
  <c r="D29" i="27"/>
  <c r="E18" i="27"/>
  <c r="F30" i="27"/>
  <c r="G30" i="27"/>
  <c r="H30" i="27"/>
  <c r="C30" i="27"/>
  <c r="D30" i="27"/>
  <c r="E19" i="27"/>
  <c r="F31" i="27"/>
  <c r="G31" i="27"/>
  <c r="H31" i="27"/>
  <c r="C31" i="27"/>
  <c r="D31" i="27"/>
  <c r="E20" i="27"/>
  <c r="F32" i="27"/>
  <c r="G32" i="27"/>
  <c r="H32" i="27"/>
  <c r="C32" i="27"/>
  <c r="D32" i="27"/>
  <c r="E21" i="27"/>
  <c r="F33" i="27"/>
  <c r="G33" i="27"/>
  <c r="H33" i="27"/>
  <c r="C33" i="27"/>
  <c r="D33" i="27"/>
  <c r="E22" i="27"/>
  <c r="F34" i="27"/>
  <c r="G34" i="27"/>
  <c r="H34" i="27"/>
  <c r="C34" i="27"/>
  <c r="D34" i="27"/>
  <c r="E23" i="27"/>
  <c r="F35" i="27"/>
  <c r="G35" i="27"/>
  <c r="H35" i="27"/>
  <c r="C35" i="27"/>
  <c r="D35" i="27"/>
  <c r="E24" i="27"/>
  <c r="F36" i="27"/>
  <c r="G36" i="27"/>
  <c r="H36" i="27"/>
  <c r="C36" i="27"/>
  <c r="D36" i="27"/>
  <c r="E25" i="27"/>
  <c r="F37" i="27"/>
  <c r="G37" i="27"/>
  <c r="H37" i="27"/>
  <c r="C37" i="27"/>
  <c r="D37" i="27"/>
  <c r="E26" i="27"/>
  <c r="F38" i="27"/>
  <c r="G38" i="27"/>
  <c r="H38" i="27"/>
  <c r="C38" i="27"/>
  <c r="D38" i="27"/>
  <c r="E27" i="27"/>
  <c r="F39" i="27"/>
  <c r="G39" i="27"/>
  <c r="H39" i="27"/>
  <c r="C39" i="27"/>
  <c r="D39" i="27"/>
  <c r="E28" i="27"/>
  <c r="F40" i="27"/>
  <c r="G40" i="27"/>
  <c r="H40" i="27"/>
  <c r="C40" i="27"/>
  <c r="D40" i="27"/>
  <c r="E29" i="27"/>
  <c r="F41" i="27"/>
  <c r="G41" i="27"/>
  <c r="H41" i="27"/>
  <c r="C41" i="27"/>
  <c r="D41" i="27"/>
  <c r="E30" i="27"/>
  <c r="F42" i="27"/>
  <c r="G42" i="27"/>
  <c r="H42" i="27"/>
  <c r="C42" i="27"/>
  <c r="D42" i="27"/>
  <c r="E31" i="27"/>
  <c r="F43" i="27"/>
  <c r="G43" i="27"/>
  <c r="H43" i="27"/>
  <c r="C43" i="27"/>
  <c r="D43" i="27"/>
  <c r="E32" i="27"/>
  <c r="F44" i="27"/>
  <c r="G44" i="27"/>
  <c r="H44" i="27"/>
  <c r="C44" i="27"/>
  <c r="D44" i="27"/>
  <c r="E33" i="27"/>
  <c r="F45" i="27"/>
  <c r="G45" i="27"/>
  <c r="H45" i="27"/>
  <c r="C45" i="27"/>
  <c r="D45" i="27"/>
  <c r="E34" i="27"/>
  <c r="F46" i="27"/>
  <c r="G46" i="27"/>
  <c r="H46" i="27"/>
  <c r="C46" i="27"/>
  <c r="D46" i="27"/>
  <c r="E35" i="27"/>
  <c r="F47" i="27"/>
  <c r="G47" i="27"/>
  <c r="H47" i="27"/>
  <c r="C47" i="27"/>
  <c r="D47" i="27"/>
  <c r="E36" i="27"/>
  <c r="F48" i="27"/>
  <c r="G48" i="27"/>
  <c r="H48" i="27"/>
  <c r="C48" i="27"/>
  <c r="D48" i="27"/>
  <c r="E37" i="27"/>
  <c r="F49" i="27"/>
  <c r="G49" i="27"/>
  <c r="H49" i="27"/>
  <c r="C49" i="27"/>
  <c r="D49" i="27"/>
  <c r="E38" i="27"/>
  <c r="F50" i="27"/>
  <c r="G50" i="27"/>
  <c r="H50" i="27"/>
  <c r="C50" i="27"/>
  <c r="D50" i="27"/>
  <c r="E39" i="27"/>
  <c r="F51" i="27"/>
  <c r="G51" i="27"/>
  <c r="H51" i="27"/>
  <c r="C51" i="27"/>
  <c r="D51" i="27"/>
  <c r="E40" i="27"/>
  <c r="F52" i="27"/>
  <c r="G52" i="27"/>
  <c r="H52" i="27"/>
  <c r="G2" i="27"/>
  <c r="H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C52" i="27"/>
  <c r="D52" i="27"/>
  <c r="E41" i="27"/>
  <c r="C53" i="27"/>
  <c r="D53" i="27"/>
  <c r="E42" i="27"/>
  <c r="F54" i="27"/>
  <c r="B54" i="27"/>
  <c r="C54" i="27"/>
  <c r="D54" i="27"/>
  <c r="E43" i="27"/>
  <c r="F55" i="27"/>
  <c r="B55" i="27"/>
  <c r="C55" i="27"/>
  <c r="D55" i="27"/>
  <c r="E44" i="27"/>
  <c r="F56" i="27"/>
  <c r="B56" i="27"/>
  <c r="C56" i="27"/>
  <c r="D56" i="27"/>
  <c r="E45" i="27"/>
  <c r="F57" i="27"/>
  <c r="B57" i="27"/>
  <c r="C57" i="27"/>
  <c r="D57" i="27"/>
  <c r="E46" i="27"/>
  <c r="F58" i="27"/>
  <c r="B58" i="27"/>
  <c r="C58" i="27"/>
  <c r="D58" i="27"/>
  <c r="E47" i="27"/>
  <c r="F59" i="27"/>
  <c r="B59" i="27"/>
  <c r="C59" i="27"/>
  <c r="D59" i="27"/>
  <c r="E48" i="27"/>
  <c r="F60" i="27"/>
  <c r="B60" i="27"/>
  <c r="C60" i="27"/>
  <c r="D60" i="27"/>
  <c r="E49" i="27"/>
  <c r="F61" i="27"/>
  <c r="B61" i="27"/>
  <c r="C61" i="27"/>
  <c r="D61" i="27"/>
  <c r="E50" i="27"/>
  <c r="F62" i="27"/>
  <c r="B62" i="27"/>
  <c r="C62" i="27"/>
  <c r="D62" i="27"/>
  <c r="E51" i="27"/>
  <c r="F63" i="27"/>
  <c r="B63" i="27"/>
  <c r="C63" i="27"/>
  <c r="D63" i="27"/>
  <c r="E52" i="27"/>
  <c r="F64" i="27"/>
  <c r="B64" i="27"/>
  <c r="F53" i="27"/>
  <c r="B53" i="27"/>
  <c r="E53" i="27"/>
  <c r="E54" i="27"/>
  <c r="E55" i="27"/>
  <c r="E56" i="27"/>
  <c r="E57" i="27"/>
  <c r="E58" i="27"/>
  <c r="E59" i="27"/>
  <c r="E60" i="27"/>
  <c r="E61" i="27"/>
  <c r="E62" i="27"/>
  <c r="E63" i="27"/>
  <c r="C64" i="27"/>
  <c r="D64" i="27"/>
  <c r="E64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O43" i="26"/>
  <c r="N43" i="26"/>
  <c r="M43" i="26"/>
  <c r="L43" i="26"/>
  <c r="K43" i="26"/>
  <c r="J43" i="26"/>
  <c r="I43" i="26"/>
  <c r="H43" i="26"/>
  <c r="G43" i="26"/>
  <c r="F43" i="26"/>
  <c r="E43" i="26"/>
  <c r="D43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B38" i="26"/>
  <c r="C25" i="26"/>
  <c r="D26" i="26"/>
  <c r="E27" i="26"/>
  <c r="F28" i="26"/>
  <c r="G29" i="26"/>
  <c r="H30" i="26"/>
  <c r="I31" i="26"/>
  <c r="J32" i="26"/>
  <c r="K33" i="26"/>
  <c r="L34" i="26"/>
  <c r="M35" i="26"/>
  <c r="N36" i="26"/>
  <c r="O37" i="26"/>
  <c r="C26" i="26"/>
  <c r="D27" i="26"/>
  <c r="E28" i="26"/>
  <c r="F29" i="26"/>
  <c r="G30" i="26"/>
  <c r="H31" i="26"/>
  <c r="I32" i="26"/>
  <c r="J33" i="26"/>
  <c r="K34" i="26"/>
  <c r="L35" i="26"/>
  <c r="M36" i="26"/>
  <c r="N37" i="26"/>
  <c r="C27" i="26"/>
  <c r="D28" i="26"/>
  <c r="E29" i="26"/>
  <c r="F30" i="26"/>
  <c r="G31" i="26"/>
  <c r="H32" i="26"/>
  <c r="I33" i="26"/>
  <c r="J34" i="26"/>
  <c r="K35" i="26"/>
  <c r="L36" i="26"/>
  <c r="M37" i="26"/>
  <c r="C28" i="26"/>
  <c r="D29" i="26"/>
  <c r="E30" i="26"/>
  <c r="F31" i="26"/>
  <c r="G32" i="26"/>
  <c r="H33" i="26"/>
  <c r="I34" i="26"/>
  <c r="J35" i="26"/>
  <c r="K36" i="26"/>
  <c r="L37" i="26"/>
  <c r="C29" i="26"/>
  <c r="D30" i="26"/>
  <c r="E31" i="26"/>
  <c r="F32" i="26"/>
  <c r="G33" i="26"/>
  <c r="H34" i="26"/>
  <c r="I35" i="26"/>
  <c r="J36" i="26"/>
  <c r="K37" i="26"/>
  <c r="C30" i="26"/>
  <c r="D31" i="26"/>
  <c r="E32" i="26"/>
  <c r="F33" i="26"/>
  <c r="G34" i="26"/>
  <c r="H35" i="26"/>
  <c r="I36" i="26"/>
  <c r="J37" i="26"/>
  <c r="C31" i="26"/>
  <c r="D32" i="26"/>
  <c r="E33" i="26"/>
  <c r="F34" i="26"/>
  <c r="G35" i="26"/>
  <c r="H36" i="26"/>
  <c r="I37" i="26"/>
  <c r="C32" i="26"/>
  <c r="D33" i="26"/>
  <c r="E34" i="26"/>
  <c r="F35" i="26"/>
  <c r="G36" i="26"/>
  <c r="H37" i="26"/>
  <c r="C33" i="26"/>
  <c r="D34" i="26"/>
  <c r="E35" i="26"/>
  <c r="F36" i="26"/>
  <c r="G37" i="26"/>
  <c r="C34" i="26"/>
  <c r="D35" i="26"/>
  <c r="E36" i="26"/>
  <c r="F37" i="26"/>
  <c r="C35" i="26"/>
  <c r="D36" i="26"/>
  <c r="E37" i="26"/>
  <c r="C36" i="26"/>
  <c r="D37" i="26"/>
  <c r="C37" i="26"/>
  <c r="C24" i="26"/>
  <c r="D25" i="26"/>
  <c r="E26" i="26"/>
  <c r="F27" i="26"/>
  <c r="G28" i="26"/>
  <c r="H29" i="26"/>
  <c r="I30" i="26"/>
  <c r="J31" i="26"/>
  <c r="K32" i="26"/>
  <c r="L33" i="26"/>
  <c r="M34" i="26"/>
  <c r="N35" i="26"/>
  <c r="O36" i="26"/>
  <c r="C23" i="26"/>
  <c r="D24" i="26"/>
  <c r="E25" i="26"/>
  <c r="F26" i="26"/>
  <c r="G27" i="26"/>
  <c r="H28" i="26"/>
  <c r="I29" i="26"/>
  <c r="J30" i="26"/>
  <c r="K31" i="26"/>
  <c r="L32" i="26"/>
  <c r="M33" i="26"/>
  <c r="N34" i="26"/>
  <c r="O35" i="26"/>
  <c r="C22" i="26"/>
  <c r="D23" i="26"/>
  <c r="E24" i="26"/>
  <c r="F25" i="26"/>
  <c r="G26" i="26"/>
  <c r="H27" i="26"/>
  <c r="I28" i="26"/>
  <c r="J29" i="26"/>
  <c r="K30" i="26"/>
  <c r="L31" i="26"/>
  <c r="M32" i="26"/>
  <c r="N33" i="26"/>
  <c r="O34" i="26"/>
  <c r="C21" i="26"/>
  <c r="D22" i="26"/>
  <c r="E23" i="26"/>
  <c r="F24" i="26"/>
  <c r="G25" i="26"/>
  <c r="H26" i="26"/>
  <c r="I27" i="26"/>
  <c r="J28" i="26"/>
  <c r="K29" i="26"/>
  <c r="L30" i="26"/>
  <c r="M31" i="26"/>
  <c r="N32" i="26"/>
  <c r="O33" i="26"/>
  <c r="C20" i="26"/>
  <c r="D21" i="26"/>
  <c r="E22" i="26"/>
  <c r="F23" i="26"/>
  <c r="G24" i="26"/>
  <c r="H25" i="26"/>
  <c r="I26" i="26"/>
  <c r="J27" i="26"/>
  <c r="K28" i="26"/>
  <c r="L29" i="26"/>
  <c r="M30" i="26"/>
  <c r="N31" i="26"/>
  <c r="O32" i="26"/>
  <c r="C19" i="26"/>
  <c r="D20" i="26"/>
  <c r="E21" i="26"/>
  <c r="F22" i="26"/>
  <c r="G23" i="26"/>
  <c r="H24" i="26"/>
  <c r="I25" i="26"/>
  <c r="J26" i="26"/>
  <c r="K27" i="26"/>
  <c r="L28" i="26"/>
  <c r="M29" i="26"/>
  <c r="N30" i="26"/>
  <c r="O31" i="26"/>
  <c r="C18" i="26"/>
  <c r="D19" i="26"/>
  <c r="E20" i="26"/>
  <c r="F21" i="26"/>
  <c r="G22" i="26"/>
  <c r="H23" i="26"/>
  <c r="I24" i="26"/>
  <c r="J25" i="26"/>
  <c r="K26" i="26"/>
  <c r="L27" i="26"/>
  <c r="M28" i="26"/>
  <c r="N29" i="26"/>
  <c r="O30" i="26"/>
  <c r="C17" i="26"/>
  <c r="D18" i="26"/>
  <c r="E19" i="26"/>
  <c r="F20" i="26"/>
  <c r="G21" i="26"/>
  <c r="H22" i="26"/>
  <c r="I23" i="26"/>
  <c r="J24" i="26"/>
  <c r="K25" i="26"/>
  <c r="L26" i="26"/>
  <c r="M27" i="26"/>
  <c r="N28" i="26"/>
  <c r="O29" i="26"/>
  <c r="C16" i="26"/>
  <c r="D17" i="26"/>
  <c r="E18" i="26"/>
  <c r="F19" i="26"/>
  <c r="G20" i="26"/>
  <c r="H21" i="26"/>
  <c r="I22" i="26"/>
  <c r="J23" i="26"/>
  <c r="K24" i="26"/>
  <c r="L25" i="26"/>
  <c r="M26" i="26"/>
  <c r="N27" i="26"/>
  <c r="O28" i="26"/>
  <c r="C15" i="26"/>
  <c r="D16" i="26"/>
  <c r="E17" i="26"/>
  <c r="F18" i="26"/>
  <c r="G19" i="26"/>
  <c r="H20" i="26"/>
  <c r="I21" i="26"/>
  <c r="J22" i="26"/>
  <c r="K23" i="26"/>
  <c r="L24" i="26"/>
  <c r="M25" i="26"/>
  <c r="N26" i="26"/>
  <c r="O27" i="26"/>
  <c r="C14" i="26"/>
  <c r="D15" i="26"/>
  <c r="E16" i="26"/>
  <c r="F17" i="26"/>
  <c r="G18" i="26"/>
  <c r="H19" i="26"/>
  <c r="I20" i="26"/>
  <c r="J21" i="26"/>
  <c r="K22" i="26"/>
  <c r="L23" i="26"/>
  <c r="M24" i="26"/>
  <c r="N25" i="26"/>
  <c r="O26" i="26"/>
  <c r="C13" i="26"/>
  <c r="D14" i="26"/>
  <c r="E15" i="26"/>
  <c r="F16" i="26"/>
  <c r="G17" i="26"/>
  <c r="H18" i="26"/>
  <c r="I19" i="26"/>
  <c r="J20" i="26"/>
  <c r="K21" i="26"/>
  <c r="L22" i="26"/>
  <c r="M23" i="26"/>
  <c r="N24" i="26"/>
  <c r="O25" i="26"/>
  <c r="C12" i="26"/>
  <c r="D13" i="26"/>
  <c r="E14" i="26"/>
  <c r="F15" i="26"/>
  <c r="G16" i="26"/>
  <c r="H17" i="26"/>
  <c r="I18" i="26"/>
  <c r="J19" i="26"/>
  <c r="K20" i="26"/>
  <c r="L21" i="26"/>
  <c r="M22" i="26"/>
  <c r="N23" i="26"/>
  <c r="O24" i="26"/>
  <c r="C11" i="26"/>
  <c r="D12" i="26"/>
  <c r="E13" i="26"/>
  <c r="F14" i="26"/>
  <c r="G15" i="26"/>
  <c r="H16" i="26"/>
  <c r="I17" i="26"/>
  <c r="J18" i="26"/>
  <c r="K19" i="26"/>
  <c r="L20" i="26"/>
  <c r="M21" i="26"/>
  <c r="N22" i="26"/>
  <c r="O23" i="26"/>
  <c r="C10" i="26"/>
  <c r="D11" i="26"/>
  <c r="E12" i="26"/>
  <c r="F13" i="26"/>
  <c r="G14" i="26"/>
  <c r="H15" i="26"/>
  <c r="I16" i="26"/>
  <c r="J17" i="26"/>
  <c r="K18" i="26"/>
  <c r="L19" i="26"/>
  <c r="M20" i="26"/>
  <c r="N21" i="26"/>
  <c r="O22" i="26"/>
  <c r="C9" i="26"/>
  <c r="D10" i="26"/>
  <c r="E11" i="26"/>
  <c r="F12" i="26"/>
  <c r="G13" i="26"/>
  <c r="H14" i="26"/>
  <c r="I15" i="26"/>
  <c r="J16" i="26"/>
  <c r="K17" i="26"/>
  <c r="L18" i="26"/>
  <c r="M19" i="26"/>
  <c r="N20" i="26"/>
  <c r="O21" i="26"/>
  <c r="C8" i="26"/>
  <c r="D9" i="26"/>
  <c r="E10" i="26"/>
  <c r="F11" i="26"/>
  <c r="G12" i="26"/>
  <c r="H13" i="26"/>
  <c r="I14" i="26"/>
  <c r="J15" i="26"/>
  <c r="K16" i="26"/>
  <c r="L17" i="26"/>
  <c r="M18" i="26"/>
  <c r="N19" i="26"/>
  <c r="O20" i="26"/>
  <c r="C7" i="26"/>
  <c r="D8" i="26"/>
  <c r="E9" i="26"/>
  <c r="F10" i="26"/>
  <c r="G11" i="26"/>
  <c r="H12" i="26"/>
  <c r="I13" i="26"/>
  <c r="J14" i="26"/>
  <c r="K15" i="26"/>
  <c r="L16" i="26"/>
  <c r="M17" i="26"/>
  <c r="N18" i="26"/>
  <c r="O19" i="26"/>
  <c r="C6" i="26"/>
  <c r="D7" i="26"/>
  <c r="E8" i="26"/>
  <c r="F9" i="26"/>
  <c r="G10" i="26"/>
  <c r="H11" i="26"/>
  <c r="I12" i="26"/>
  <c r="J13" i="26"/>
  <c r="K14" i="26"/>
  <c r="L15" i="26"/>
  <c r="M16" i="26"/>
  <c r="N17" i="26"/>
  <c r="O18" i="26"/>
  <c r="C5" i="26"/>
  <c r="D6" i="26"/>
  <c r="E7" i="26"/>
  <c r="F8" i="26"/>
  <c r="G9" i="26"/>
  <c r="H10" i="26"/>
  <c r="I11" i="26"/>
  <c r="J12" i="26"/>
  <c r="K13" i="26"/>
  <c r="L14" i="26"/>
  <c r="M15" i="26"/>
  <c r="N16" i="26"/>
  <c r="O17" i="26"/>
  <c r="C4" i="26"/>
  <c r="D5" i="26"/>
  <c r="E6" i="26"/>
  <c r="F7" i="26"/>
  <c r="G8" i="26"/>
  <c r="H9" i="26"/>
  <c r="I10" i="26"/>
  <c r="J11" i="26"/>
  <c r="K12" i="26"/>
  <c r="L13" i="26"/>
  <c r="M14" i="26"/>
  <c r="N15" i="26"/>
  <c r="O16" i="26"/>
  <c r="C3" i="26"/>
  <c r="D4" i="26"/>
  <c r="E5" i="26"/>
  <c r="F6" i="26"/>
  <c r="G7" i="26"/>
  <c r="H8" i="26"/>
  <c r="I9" i="26"/>
  <c r="J10" i="26"/>
  <c r="K11" i="26"/>
  <c r="L12" i="26"/>
  <c r="M13" i="26"/>
  <c r="N14" i="26"/>
  <c r="O15" i="26"/>
  <c r="C2" i="26"/>
  <c r="D3" i="26"/>
  <c r="E4" i="26"/>
  <c r="F5" i="26"/>
  <c r="G6" i="26"/>
  <c r="H7" i="26"/>
  <c r="I8" i="26"/>
  <c r="J9" i="26"/>
  <c r="K10" i="26"/>
  <c r="L11" i="26"/>
  <c r="M12" i="26"/>
  <c r="N13" i="26"/>
  <c r="O14" i="26"/>
  <c r="E3" i="26"/>
  <c r="F4" i="26"/>
  <c r="G5" i="26"/>
  <c r="H6" i="26"/>
  <c r="I7" i="26"/>
  <c r="J8" i="26"/>
  <c r="K9" i="26"/>
  <c r="L10" i="26"/>
  <c r="M11" i="26"/>
  <c r="N12" i="26"/>
  <c r="O13" i="26"/>
  <c r="F3" i="26"/>
  <c r="G4" i="26"/>
  <c r="H5" i="26"/>
  <c r="I6" i="26"/>
  <c r="J7" i="26"/>
  <c r="K8" i="26"/>
  <c r="L9" i="26"/>
  <c r="M10" i="26"/>
  <c r="N11" i="26"/>
  <c r="O12" i="26"/>
  <c r="G3" i="26"/>
  <c r="H4" i="26"/>
  <c r="I5" i="26"/>
  <c r="J6" i="26"/>
  <c r="K7" i="26"/>
  <c r="L8" i="26"/>
  <c r="M9" i="26"/>
  <c r="N10" i="26"/>
  <c r="O11" i="26"/>
  <c r="H3" i="26"/>
  <c r="I4" i="26"/>
  <c r="J5" i="26"/>
  <c r="K6" i="26"/>
  <c r="L7" i="26"/>
  <c r="M8" i="26"/>
  <c r="N9" i="26"/>
  <c r="O10" i="26"/>
  <c r="I3" i="26"/>
  <c r="J4" i="26"/>
  <c r="K5" i="26"/>
  <c r="L6" i="26"/>
  <c r="M7" i="26"/>
  <c r="N8" i="26"/>
  <c r="O9" i="26"/>
  <c r="J3" i="26"/>
  <c r="K4" i="26"/>
  <c r="L5" i="26"/>
  <c r="M6" i="26"/>
  <c r="N7" i="26"/>
  <c r="O8" i="26"/>
  <c r="K3" i="26"/>
  <c r="L4" i="26"/>
  <c r="M5" i="26"/>
  <c r="N6" i="26"/>
  <c r="O7" i="26"/>
  <c r="L3" i="26"/>
  <c r="M4" i="26"/>
  <c r="N5" i="26"/>
  <c r="O6" i="26"/>
  <c r="M3" i="26"/>
  <c r="N4" i="26"/>
  <c r="O5" i="26"/>
  <c r="N3" i="26"/>
  <c r="O4" i="26"/>
  <c r="O3" i="26"/>
  <c r="C17" i="25"/>
  <c r="D17" i="25"/>
  <c r="F18" i="25"/>
  <c r="G18" i="25"/>
  <c r="H18" i="25"/>
  <c r="C18" i="25"/>
  <c r="D18" i="25"/>
  <c r="F19" i="25"/>
  <c r="G19" i="25"/>
  <c r="H19" i="25"/>
  <c r="C19" i="25"/>
  <c r="D19" i="25"/>
  <c r="F20" i="25"/>
  <c r="G20" i="25"/>
  <c r="H20" i="25"/>
  <c r="C20" i="25"/>
  <c r="D20" i="25"/>
  <c r="F21" i="25"/>
  <c r="G21" i="25"/>
  <c r="H21" i="25"/>
  <c r="C21" i="25"/>
  <c r="D21" i="25"/>
  <c r="F22" i="25"/>
  <c r="G22" i="25"/>
  <c r="H22" i="25"/>
  <c r="C22" i="25"/>
  <c r="D22" i="25"/>
  <c r="F23" i="25"/>
  <c r="G23" i="25"/>
  <c r="H23" i="25"/>
  <c r="C23" i="25"/>
  <c r="D23" i="25"/>
  <c r="F24" i="25"/>
  <c r="G24" i="25"/>
  <c r="H24" i="25"/>
  <c r="C24" i="25"/>
  <c r="D24" i="25"/>
  <c r="F25" i="25"/>
  <c r="G25" i="25"/>
  <c r="H25" i="25"/>
  <c r="C25" i="25"/>
  <c r="D25" i="25"/>
  <c r="F26" i="25"/>
  <c r="G26" i="25"/>
  <c r="H26" i="25"/>
  <c r="C26" i="25"/>
  <c r="D26" i="25"/>
  <c r="F27" i="25"/>
  <c r="G27" i="25"/>
  <c r="H27" i="25"/>
  <c r="C27" i="25"/>
  <c r="D27" i="25"/>
  <c r="F28" i="25"/>
  <c r="G28" i="25"/>
  <c r="H28" i="25"/>
  <c r="C28" i="25"/>
  <c r="D28" i="25"/>
  <c r="E17" i="25"/>
  <c r="F29" i="25"/>
  <c r="G29" i="25"/>
  <c r="H29" i="25"/>
  <c r="C29" i="25"/>
  <c r="D29" i="25"/>
  <c r="E18" i="25"/>
  <c r="F30" i="25"/>
  <c r="G30" i="25"/>
  <c r="H30" i="25"/>
  <c r="C30" i="25"/>
  <c r="D30" i="25"/>
  <c r="E19" i="25"/>
  <c r="F31" i="25"/>
  <c r="G31" i="25"/>
  <c r="H31" i="25"/>
  <c r="C31" i="25"/>
  <c r="D31" i="25"/>
  <c r="E20" i="25"/>
  <c r="F32" i="25"/>
  <c r="G32" i="25"/>
  <c r="H32" i="25"/>
  <c r="C32" i="25"/>
  <c r="D32" i="25"/>
  <c r="E21" i="25"/>
  <c r="F33" i="25"/>
  <c r="G33" i="25"/>
  <c r="H33" i="25"/>
  <c r="C33" i="25"/>
  <c r="D33" i="25"/>
  <c r="E22" i="25"/>
  <c r="F34" i="25"/>
  <c r="G34" i="25"/>
  <c r="H34" i="25"/>
  <c r="C34" i="25"/>
  <c r="D34" i="25"/>
  <c r="E23" i="25"/>
  <c r="F35" i="25"/>
  <c r="G35" i="25"/>
  <c r="H35" i="25"/>
  <c r="C35" i="25"/>
  <c r="D35" i="25"/>
  <c r="E24" i="25"/>
  <c r="F36" i="25"/>
  <c r="G36" i="25"/>
  <c r="H36" i="25"/>
  <c r="C36" i="25"/>
  <c r="D36" i="25"/>
  <c r="E25" i="25"/>
  <c r="F37" i="25"/>
  <c r="G37" i="25"/>
  <c r="H37" i="25"/>
  <c r="C37" i="25"/>
  <c r="D37" i="25"/>
  <c r="E26" i="25"/>
  <c r="F38" i="25"/>
  <c r="G38" i="25"/>
  <c r="H38" i="25"/>
  <c r="C38" i="25"/>
  <c r="D38" i="25"/>
  <c r="E27" i="25"/>
  <c r="F39" i="25"/>
  <c r="G39" i="25"/>
  <c r="H39" i="25"/>
  <c r="C39" i="25"/>
  <c r="D39" i="25"/>
  <c r="E28" i="25"/>
  <c r="F40" i="25"/>
  <c r="G40" i="25"/>
  <c r="H40" i="25"/>
  <c r="C40" i="25"/>
  <c r="D40" i="25"/>
  <c r="E29" i="25"/>
  <c r="F41" i="25"/>
  <c r="G41" i="25"/>
  <c r="H41" i="25"/>
  <c r="C41" i="25"/>
  <c r="D41" i="25"/>
  <c r="E30" i="25"/>
  <c r="F42" i="25"/>
  <c r="G42" i="25"/>
  <c r="H42" i="25"/>
  <c r="C42" i="25"/>
  <c r="D42" i="25"/>
  <c r="E31" i="25"/>
  <c r="F43" i="25"/>
  <c r="G43" i="25"/>
  <c r="H43" i="25"/>
  <c r="C43" i="25"/>
  <c r="D43" i="25"/>
  <c r="E32" i="25"/>
  <c r="F44" i="25"/>
  <c r="G44" i="25"/>
  <c r="H44" i="25"/>
  <c r="C44" i="25"/>
  <c r="D44" i="25"/>
  <c r="E33" i="25"/>
  <c r="F45" i="25"/>
  <c r="G45" i="25"/>
  <c r="H45" i="25"/>
  <c r="C45" i="25"/>
  <c r="D45" i="25"/>
  <c r="E34" i="25"/>
  <c r="F46" i="25"/>
  <c r="G46" i="25"/>
  <c r="H46" i="25"/>
  <c r="C46" i="25"/>
  <c r="D46" i="25"/>
  <c r="E35" i="25"/>
  <c r="F47" i="25"/>
  <c r="G47" i="25"/>
  <c r="H47" i="25"/>
  <c r="C47" i="25"/>
  <c r="D47" i="25"/>
  <c r="E36" i="25"/>
  <c r="F48" i="25"/>
  <c r="G48" i="25"/>
  <c r="H48" i="25"/>
  <c r="C48" i="25"/>
  <c r="D48" i="25"/>
  <c r="E37" i="25"/>
  <c r="F49" i="25"/>
  <c r="G49" i="25"/>
  <c r="H49" i="25"/>
  <c r="C49" i="25"/>
  <c r="D49" i="25"/>
  <c r="E38" i="25"/>
  <c r="F50" i="25"/>
  <c r="G50" i="25"/>
  <c r="H50" i="25"/>
  <c r="C50" i="25"/>
  <c r="D50" i="25"/>
  <c r="E39" i="25"/>
  <c r="F51" i="25"/>
  <c r="G51" i="25"/>
  <c r="H51" i="25"/>
  <c r="C51" i="25"/>
  <c r="D51" i="25"/>
  <c r="E40" i="25"/>
  <c r="F52" i="25"/>
  <c r="G52" i="25"/>
  <c r="H52" i="25"/>
  <c r="G2" i="25"/>
  <c r="H17" i="25"/>
  <c r="H2" i="25"/>
  <c r="C52" i="25"/>
  <c r="D52" i="25"/>
  <c r="E42" i="25"/>
  <c r="B54" i="25"/>
  <c r="E43" i="25"/>
  <c r="B55" i="25"/>
  <c r="E44" i="25"/>
  <c r="B56" i="25"/>
  <c r="E45" i="25"/>
  <c r="B57" i="25"/>
  <c r="E46" i="25"/>
  <c r="B58" i="25"/>
  <c r="E47" i="25"/>
  <c r="B59" i="25"/>
  <c r="E48" i="25"/>
  <c r="B60" i="25"/>
  <c r="E49" i="25"/>
  <c r="B61" i="25"/>
  <c r="E50" i="25"/>
  <c r="B62" i="25"/>
  <c r="E51" i="25"/>
  <c r="B63" i="25"/>
  <c r="E52" i="25"/>
  <c r="B64" i="25"/>
  <c r="E41" i="25"/>
  <c r="B53" i="25"/>
  <c r="G17" i="25"/>
  <c r="F17" i="25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2" i="24"/>
  <c r="E13" i="24"/>
  <c r="E12" i="24"/>
  <c r="E11" i="24"/>
  <c r="E10" i="24"/>
  <c r="E9" i="24"/>
  <c r="E8" i="24"/>
  <c r="F13" i="24"/>
  <c r="F12" i="24"/>
  <c r="F11" i="24"/>
  <c r="F10" i="24"/>
  <c r="F9" i="24"/>
  <c r="F8" i="24"/>
  <c r="F7" i="24"/>
  <c r="F6" i="24"/>
  <c r="F5" i="24"/>
  <c r="F4" i="24"/>
  <c r="F3" i="24"/>
  <c r="F2" i="24"/>
  <c r="E3" i="24"/>
  <c r="E4" i="24"/>
  <c r="E5" i="24"/>
  <c r="E6" i="24"/>
  <c r="E7" i="24"/>
  <c r="E2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8" i="24"/>
  <c r="O43" i="22"/>
  <c r="N43" i="22"/>
  <c r="M43" i="22"/>
  <c r="L43" i="22"/>
  <c r="K43" i="22"/>
  <c r="J43" i="22"/>
  <c r="I43" i="22"/>
  <c r="H43" i="22"/>
  <c r="G43" i="22"/>
  <c r="F43" i="22"/>
  <c r="E43" i="22"/>
  <c r="D43" i="22"/>
  <c r="E42" i="22"/>
  <c r="F42" i="22"/>
  <c r="G42" i="22"/>
  <c r="H42" i="22"/>
  <c r="I42" i="22"/>
  <c r="J42" i="22"/>
  <c r="K42" i="22"/>
  <c r="L42" i="22"/>
  <c r="M42" i="22"/>
  <c r="N42" i="22"/>
  <c r="O42" i="22"/>
  <c r="D42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E27" i="22"/>
  <c r="F28" i="22"/>
  <c r="G29" i="22"/>
  <c r="H30" i="22"/>
  <c r="I31" i="22"/>
  <c r="J32" i="22"/>
  <c r="K33" i="22"/>
  <c r="L34" i="22"/>
  <c r="M35" i="22"/>
  <c r="N36" i="22"/>
  <c r="O37" i="22"/>
  <c r="E28" i="22"/>
  <c r="F29" i="22"/>
  <c r="G30" i="22"/>
  <c r="H31" i="22"/>
  <c r="I32" i="22"/>
  <c r="J33" i="22"/>
  <c r="K34" i="22"/>
  <c r="L35" i="22"/>
  <c r="M36" i="22"/>
  <c r="N37" i="22"/>
  <c r="E29" i="22"/>
  <c r="F30" i="22"/>
  <c r="G31" i="22"/>
  <c r="H32" i="22"/>
  <c r="I33" i="22"/>
  <c r="J34" i="22"/>
  <c r="K35" i="22"/>
  <c r="L36" i="22"/>
  <c r="M37" i="22"/>
  <c r="E30" i="22"/>
  <c r="F31" i="22"/>
  <c r="G32" i="22"/>
  <c r="H33" i="22"/>
  <c r="I34" i="22"/>
  <c r="J35" i="22"/>
  <c r="K36" i="22"/>
  <c r="L37" i="22"/>
  <c r="E31" i="22"/>
  <c r="F32" i="22"/>
  <c r="G33" i="22"/>
  <c r="H34" i="22"/>
  <c r="I35" i="22"/>
  <c r="J36" i="22"/>
  <c r="K37" i="22"/>
  <c r="E32" i="22"/>
  <c r="F33" i="22"/>
  <c r="G34" i="22"/>
  <c r="H35" i="22"/>
  <c r="I36" i="22"/>
  <c r="J37" i="22"/>
  <c r="E33" i="22"/>
  <c r="F34" i="22"/>
  <c r="G35" i="22"/>
  <c r="H36" i="22"/>
  <c r="I37" i="22"/>
  <c r="E34" i="22"/>
  <c r="F35" i="22"/>
  <c r="G36" i="22"/>
  <c r="H37" i="22"/>
  <c r="E35" i="22"/>
  <c r="F36" i="22"/>
  <c r="G37" i="22"/>
  <c r="E36" i="22"/>
  <c r="F37" i="22"/>
  <c r="E37" i="22"/>
  <c r="E26" i="22"/>
  <c r="F27" i="22"/>
  <c r="G28" i="22"/>
  <c r="H29" i="22"/>
  <c r="I30" i="22"/>
  <c r="J31" i="22"/>
  <c r="K32" i="22"/>
  <c r="L33" i="22"/>
  <c r="M34" i="22"/>
  <c r="N35" i="22"/>
  <c r="O36" i="22"/>
  <c r="E25" i="22"/>
  <c r="F26" i="22"/>
  <c r="G27" i="22"/>
  <c r="H28" i="22"/>
  <c r="I29" i="22"/>
  <c r="J30" i="22"/>
  <c r="K31" i="22"/>
  <c r="L32" i="22"/>
  <c r="M33" i="22"/>
  <c r="N34" i="22"/>
  <c r="O35" i="22"/>
  <c r="E24" i="22"/>
  <c r="F25" i="22"/>
  <c r="G26" i="22"/>
  <c r="H27" i="22"/>
  <c r="I28" i="22"/>
  <c r="J29" i="22"/>
  <c r="K30" i="22"/>
  <c r="L31" i="22"/>
  <c r="M32" i="22"/>
  <c r="N33" i="22"/>
  <c r="O34" i="22"/>
  <c r="E23" i="22"/>
  <c r="F24" i="22"/>
  <c r="G25" i="22"/>
  <c r="H26" i="22"/>
  <c r="I27" i="22"/>
  <c r="J28" i="22"/>
  <c r="K29" i="22"/>
  <c r="L30" i="22"/>
  <c r="M31" i="22"/>
  <c r="N32" i="22"/>
  <c r="O33" i="22"/>
  <c r="E22" i="22"/>
  <c r="F23" i="22"/>
  <c r="G24" i="22"/>
  <c r="H25" i="22"/>
  <c r="I26" i="22"/>
  <c r="J27" i="22"/>
  <c r="K28" i="22"/>
  <c r="L29" i="22"/>
  <c r="M30" i="22"/>
  <c r="N31" i="22"/>
  <c r="O32" i="22"/>
  <c r="E21" i="22"/>
  <c r="F22" i="22"/>
  <c r="G23" i="22"/>
  <c r="H24" i="22"/>
  <c r="I25" i="22"/>
  <c r="J26" i="22"/>
  <c r="K27" i="22"/>
  <c r="L28" i="22"/>
  <c r="M29" i="22"/>
  <c r="N30" i="22"/>
  <c r="O31" i="22"/>
  <c r="E20" i="22"/>
  <c r="F21" i="22"/>
  <c r="G22" i="22"/>
  <c r="H23" i="22"/>
  <c r="I24" i="22"/>
  <c r="J25" i="22"/>
  <c r="K26" i="22"/>
  <c r="L27" i="22"/>
  <c r="M28" i="22"/>
  <c r="N29" i="22"/>
  <c r="O30" i="22"/>
  <c r="E19" i="22"/>
  <c r="F20" i="22"/>
  <c r="G21" i="22"/>
  <c r="H22" i="22"/>
  <c r="I23" i="22"/>
  <c r="J24" i="22"/>
  <c r="K25" i="22"/>
  <c r="L26" i="22"/>
  <c r="M27" i="22"/>
  <c r="N28" i="22"/>
  <c r="O29" i="22"/>
  <c r="E18" i="22"/>
  <c r="F19" i="22"/>
  <c r="G20" i="22"/>
  <c r="H21" i="22"/>
  <c r="I22" i="22"/>
  <c r="J23" i="22"/>
  <c r="K24" i="22"/>
  <c r="L25" i="22"/>
  <c r="M26" i="22"/>
  <c r="N27" i="22"/>
  <c r="O28" i="22"/>
  <c r="E17" i="22"/>
  <c r="F18" i="22"/>
  <c r="G19" i="22"/>
  <c r="H20" i="22"/>
  <c r="I21" i="22"/>
  <c r="J22" i="22"/>
  <c r="K23" i="22"/>
  <c r="L24" i="22"/>
  <c r="M25" i="22"/>
  <c r="N26" i="22"/>
  <c r="O27" i="22"/>
  <c r="E16" i="22"/>
  <c r="F17" i="22"/>
  <c r="G18" i="22"/>
  <c r="H19" i="22"/>
  <c r="I20" i="22"/>
  <c r="J21" i="22"/>
  <c r="K22" i="22"/>
  <c r="L23" i="22"/>
  <c r="M24" i="22"/>
  <c r="N25" i="22"/>
  <c r="O26" i="22"/>
  <c r="E15" i="22"/>
  <c r="F16" i="22"/>
  <c r="G17" i="22"/>
  <c r="H18" i="22"/>
  <c r="I19" i="22"/>
  <c r="J20" i="22"/>
  <c r="K21" i="22"/>
  <c r="L22" i="22"/>
  <c r="M23" i="22"/>
  <c r="N24" i="22"/>
  <c r="O25" i="22"/>
  <c r="E14" i="22"/>
  <c r="F15" i="22"/>
  <c r="G16" i="22"/>
  <c r="H17" i="22"/>
  <c r="I18" i="22"/>
  <c r="J19" i="22"/>
  <c r="K20" i="22"/>
  <c r="L21" i="22"/>
  <c r="M22" i="22"/>
  <c r="N23" i="22"/>
  <c r="O24" i="22"/>
  <c r="E13" i="22"/>
  <c r="F14" i="22"/>
  <c r="G15" i="22"/>
  <c r="H16" i="22"/>
  <c r="I17" i="22"/>
  <c r="J18" i="22"/>
  <c r="K19" i="22"/>
  <c r="L20" i="22"/>
  <c r="M21" i="22"/>
  <c r="N22" i="22"/>
  <c r="O23" i="22"/>
  <c r="E12" i="22"/>
  <c r="F13" i="22"/>
  <c r="G14" i="22"/>
  <c r="H15" i="22"/>
  <c r="I16" i="22"/>
  <c r="J17" i="22"/>
  <c r="K18" i="22"/>
  <c r="L19" i="22"/>
  <c r="M20" i="22"/>
  <c r="N21" i="22"/>
  <c r="O22" i="22"/>
  <c r="E11" i="22"/>
  <c r="F12" i="22"/>
  <c r="G13" i="22"/>
  <c r="H14" i="22"/>
  <c r="I15" i="22"/>
  <c r="J16" i="22"/>
  <c r="K17" i="22"/>
  <c r="L18" i="22"/>
  <c r="M19" i="22"/>
  <c r="N20" i="22"/>
  <c r="O21" i="22"/>
  <c r="E10" i="22"/>
  <c r="F11" i="22"/>
  <c r="G12" i="22"/>
  <c r="H13" i="22"/>
  <c r="I14" i="22"/>
  <c r="J15" i="22"/>
  <c r="K16" i="22"/>
  <c r="L17" i="22"/>
  <c r="M18" i="22"/>
  <c r="N19" i="22"/>
  <c r="O20" i="22"/>
  <c r="E9" i="22"/>
  <c r="F10" i="22"/>
  <c r="G11" i="22"/>
  <c r="H12" i="22"/>
  <c r="I13" i="22"/>
  <c r="J14" i="22"/>
  <c r="K15" i="22"/>
  <c r="L16" i="22"/>
  <c r="M17" i="22"/>
  <c r="N18" i="22"/>
  <c r="O19" i="22"/>
  <c r="E8" i="22"/>
  <c r="F9" i="22"/>
  <c r="G10" i="22"/>
  <c r="H11" i="22"/>
  <c r="I12" i="22"/>
  <c r="J13" i="22"/>
  <c r="K14" i="22"/>
  <c r="L15" i="22"/>
  <c r="M16" i="22"/>
  <c r="N17" i="22"/>
  <c r="O18" i="22"/>
  <c r="E7" i="22"/>
  <c r="F8" i="22"/>
  <c r="G9" i="22"/>
  <c r="H10" i="22"/>
  <c r="I11" i="22"/>
  <c r="J12" i="22"/>
  <c r="K13" i="22"/>
  <c r="L14" i="22"/>
  <c r="M15" i="22"/>
  <c r="N16" i="22"/>
  <c r="O17" i="22"/>
  <c r="E6" i="22"/>
  <c r="F7" i="22"/>
  <c r="G8" i="22"/>
  <c r="H9" i="22"/>
  <c r="I10" i="22"/>
  <c r="J11" i="22"/>
  <c r="K12" i="22"/>
  <c r="L13" i="22"/>
  <c r="M14" i="22"/>
  <c r="N15" i="22"/>
  <c r="O16" i="22"/>
  <c r="E5" i="22"/>
  <c r="F6" i="22"/>
  <c r="G7" i="22"/>
  <c r="H8" i="22"/>
  <c r="I9" i="22"/>
  <c r="J10" i="22"/>
  <c r="K11" i="22"/>
  <c r="L12" i="22"/>
  <c r="M13" i="22"/>
  <c r="N14" i="22"/>
  <c r="O15" i="22"/>
  <c r="E4" i="22"/>
  <c r="F5" i="22"/>
  <c r="G6" i="22"/>
  <c r="H7" i="22"/>
  <c r="I8" i="22"/>
  <c r="J9" i="22"/>
  <c r="K10" i="22"/>
  <c r="L11" i="22"/>
  <c r="M12" i="22"/>
  <c r="N13" i="22"/>
  <c r="O14" i="22"/>
  <c r="E3" i="22"/>
  <c r="F4" i="22"/>
  <c r="G5" i="22"/>
  <c r="H6" i="22"/>
  <c r="I7" i="22"/>
  <c r="J8" i="22"/>
  <c r="K9" i="22"/>
  <c r="L10" i="22"/>
  <c r="M11" i="22"/>
  <c r="N12" i="22"/>
  <c r="O13" i="22"/>
  <c r="F3" i="22"/>
  <c r="G4" i="22"/>
  <c r="H5" i="22"/>
  <c r="I6" i="22"/>
  <c r="J7" i="22"/>
  <c r="K8" i="22"/>
  <c r="L9" i="22"/>
  <c r="M10" i="22"/>
  <c r="N11" i="22"/>
  <c r="O12" i="22"/>
  <c r="G3" i="22"/>
  <c r="H4" i="22"/>
  <c r="I5" i="22"/>
  <c r="J6" i="22"/>
  <c r="K7" i="22"/>
  <c r="L8" i="22"/>
  <c r="M9" i="22"/>
  <c r="N10" i="22"/>
  <c r="O11" i="22"/>
  <c r="H3" i="22"/>
  <c r="I4" i="22"/>
  <c r="J5" i="22"/>
  <c r="K6" i="22"/>
  <c r="L7" i="22"/>
  <c r="M8" i="22"/>
  <c r="N9" i="22"/>
  <c r="O10" i="22"/>
  <c r="I3" i="22"/>
  <c r="J4" i="22"/>
  <c r="K5" i="22"/>
  <c r="L6" i="22"/>
  <c r="M7" i="22"/>
  <c r="N8" i="22"/>
  <c r="O9" i="22"/>
  <c r="J3" i="22"/>
  <c r="K4" i="22"/>
  <c r="L5" i="22"/>
  <c r="M6" i="22"/>
  <c r="N7" i="22"/>
  <c r="O8" i="22"/>
  <c r="K3" i="22"/>
  <c r="L4" i="22"/>
  <c r="M5" i="22"/>
  <c r="N6" i="22"/>
  <c r="O7" i="22"/>
  <c r="L3" i="22"/>
  <c r="M4" i="22"/>
  <c r="N5" i="22"/>
  <c r="O6" i="22"/>
  <c r="M3" i="22"/>
  <c r="N4" i="22"/>
  <c r="O5" i="22"/>
  <c r="N3" i="22"/>
  <c r="O4" i="22"/>
  <c r="O3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" i="22"/>
  <c r="C38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2" i="22"/>
  <c r="B38" i="22"/>
  <c r="C6" i="21"/>
  <c r="D6" i="21"/>
  <c r="E7" i="21"/>
  <c r="F7" i="21"/>
  <c r="G7" i="21"/>
  <c r="C7" i="21"/>
  <c r="D7" i="21"/>
  <c r="E8" i="21"/>
  <c r="F8" i="21"/>
  <c r="G8" i="21"/>
  <c r="C8" i="21"/>
  <c r="D8" i="21"/>
  <c r="E9" i="21"/>
  <c r="F9" i="21"/>
  <c r="G9" i="21"/>
  <c r="C9" i="21"/>
  <c r="D9" i="21"/>
  <c r="E10" i="21"/>
  <c r="F10" i="21"/>
  <c r="G10" i="21"/>
  <c r="C10" i="21"/>
  <c r="D10" i="21"/>
  <c r="E11" i="21"/>
  <c r="F11" i="21"/>
  <c r="G11" i="21"/>
  <c r="C11" i="21"/>
  <c r="D11" i="21"/>
  <c r="E12" i="21"/>
  <c r="F12" i="21"/>
  <c r="G12" i="21"/>
  <c r="C12" i="21"/>
  <c r="D12" i="21"/>
  <c r="E13" i="21"/>
  <c r="F13" i="21"/>
  <c r="G13" i="21"/>
  <c r="C13" i="21"/>
  <c r="D13" i="21"/>
  <c r="E14" i="21"/>
  <c r="F14" i="21"/>
  <c r="G14" i="21"/>
  <c r="C14" i="21"/>
  <c r="D14" i="21"/>
  <c r="E15" i="21"/>
  <c r="F15" i="21"/>
  <c r="G15" i="21"/>
  <c r="C15" i="21"/>
  <c r="D15" i="21"/>
  <c r="E16" i="21"/>
  <c r="F16" i="21"/>
  <c r="G16" i="21"/>
  <c r="C16" i="21"/>
  <c r="D16" i="21"/>
  <c r="E17" i="21"/>
  <c r="F17" i="21"/>
  <c r="G17" i="21"/>
  <c r="C17" i="21"/>
  <c r="D17" i="21"/>
  <c r="E18" i="21"/>
  <c r="F18" i="21"/>
  <c r="G18" i="21"/>
  <c r="C18" i="21"/>
  <c r="D18" i="21"/>
  <c r="E19" i="21"/>
  <c r="F19" i="21"/>
  <c r="G19" i="21"/>
  <c r="C19" i="21"/>
  <c r="D19" i="21"/>
  <c r="E20" i="21"/>
  <c r="F20" i="21"/>
  <c r="G20" i="21"/>
  <c r="C20" i="21"/>
  <c r="D20" i="21"/>
  <c r="E21" i="21"/>
  <c r="F21" i="21"/>
  <c r="G21" i="21"/>
  <c r="C21" i="21"/>
  <c r="D21" i="21"/>
  <c r="E22" i="21"/>
  <c r="F22" i="21"/>
  <c r="G22" i="21"/>
  <c r="C22" i="21"/>
  <c r="D22" i="21"/>
  <c r="E23" i="21"/>
  <c r="F23" i="21"/>
  <c r="G23" i="21"/>
  <c r="C23" i="21"/>
  <c r="D23" i="21"/>
  <c r="E24" i="21"/>
  <c r="F24" i="21"/>
  <c r="G24" i="21"/>
  <c r="C24" i="21"/>
  <c r="D24" i="21"/>
  <c r="E25" i="21"/>
  <c r="F25" i="21"/>
  <c r="G25" i="21"/>
  <c r="C25" i="21"/>
  <c r="D25" i="21"/>
  <c r="E26" i="21"/>
  <c r="F26" i="21"/>
  <c r="G26" i="21"/>
  <c r="C26" i="21"/>
  <c r="D26" i="21"/>
  <c r="E27" i="21"/>
  <c r="F27" i="21"/>
  <c r="G27" i="21"/>
  <c r="C27" i="21"/>
  <c r="D27" i="21"/>
  <c r="E28" i="21"/>
  <c r="F28" i="21"/>
  <c r="G28" i="21"/>
  <c r="C28" i="21"/>
  <c r="D28" i="21"/>
  <c r="E29" i="21"/>
  <c r="F29" i="21"/>
  <c r="G29" i="21"/>
  <c r="C29" i="21"/>
  <c r="D29" i="21"/>
  <c r="E30" i="21"/>
  <c r="F30" i="21"/>
  <c r="G30" i="21"/>
  <c r="C30" i="21"/>
  <c r="D30" i="21"/>
  <c r="E31" i="21"/>
  <c r="F31" i="21"/>
  <c r="G31" i="21"/>
  <c r="C31" i="21"/>
  <c r="D31" i="21"/>
  <c r="E32" i="21"/>
  <c r="F32" i="21"/>
  <c r="G32" i="21"/>
  <c r="C32" i="21"/>
  <c r="D32" i="21"/>
  <c r="E33" i="21"/>
  <c r="F33" i="21"/>
  <c r="G33" i="21"/>
  <c r="C33" i="21"/>
  <c r="D33" i="21"/>
  <c r="E34" i="21"/>
  <c r="F34" i="21"/>
  <c r="G34" i="21"/>
  <c r="C34" i="21"/>
  <c r="D34" i="21"/>
  <c r="E35" i="21"/>
  <c r="F35" i="21"/>
  <c r="G35" i="21"/>
  <c r="C35" i="21"/>
  <c r="D35" i="21"/>
  <c r="E36" i="21"/>
  <c r="F36" i="21"/>
  <c r="G36" i="21"/>
  <c r="C36" i="21"/>
  <c r="D36" i="21"/>
  <c r="E37" i="21"/>
  <c r="F37" i="21"/>
  <c r="G37" i="21"/>
  <c r="C37" i="21"/>
  <c r="D37" i="21"/>
  <c r="E38" i="21"/>
  <c r="F38" i="21"/>
  <c r="G38" i="21"/>
  <c r="C38" i="21"/>
  <c r="D38" i="21"/>
  <c r="E39" i="21"/>
  <c r="F39" i="21"/>
  <c r="G39" i="21"/>
  <c r="C39" i="21"/>
  <c r="D39" i="21"/>
  <c r="E40" i="21"/>
  <c r="F40" i="21"/>
  <c r="G40" i="21"/>
  <c r="C40" i="21"/>
  <c r="D40" i="21"/>
  <c r="E41" i="21"/>
  <c r="F41" i="21"/>
  <c r="G41" i="21"/>
  <c r="F2" i="21"/>
  <c r="G2" i="21"/>
  <c r="C41" i="21"/>
  <c r="D41" i="21"/>
  <c r="B53" i="21"/>
  <c r="B52" i="21"/>
  <c r="B51" i="21"/>
  <c r="B50" i="21"/>
  <c r="G6" i="21"/>
  <c r="B43" i="21"/>
  <c r="B44" i="21"/>
  <c r="B45" i="21"/>
  <c r="B46" i="21"/>
  <c r="B47" i="21"/>
  <c r="B48" i="21"/>
  <c r="B49" i="21"/>
  <c r="B42" i="21"/>
  <c r="F6" i="21"/>
  <c r="E6" i="21"/>
  <c r="C6" i="20"/>
  <c r="D7" i="20"/>
  <c r="E7" i="20"/>
  <c r="F7" i="20"/>
  <c r="C7" i="20"/>
  <c r="D8" i="20"/>
  <c r="E8" i="20"/>
  <c r="F8" i="20"/>
  <c r="C8" i="20"/>
  <c r="D9" i="20"/>
  <c r="E9" i="20"/>
  <c r="F9" i="20"/>
  <c r="C9" i="20"/>
  <c r="D10" i="20"/>
  <c r="E10" i="20"/>
  <c r="F10" i="20"/>
  <c r="C10" i="20"/>
  <c r="D11" i="20"/>
  <c r="E11" i="20"/>
  <c r="F11" i="20"/>
  <c r="C11" i="20"/>
  <c r="D12" i="20"/>
  <c r="E12" i="20"/>
  <c r="F12" i="20"/>
  <c r="C12" i="20"/>
  <c r="D13" i="20"/>
  <c r="E13" i="20"/>
  <c r="F13" i="20"/>
  <c r="C13" i="20"/>
  <c r="D14" i="20"/>
  <c r="E14" i="20"/>
  <c r="F14" i="20"/>
  <c r="C14" i="20"/>
  <c r="D15" i="20"/>
  <c r="E15" i="20"/>
  <c r="F15" i="20"/>
  <c r="C15" i="20"/>
  <c r="D16" i="20"/>
  <c r="E16" i="20"/>
  <c r="F16" i="20"/>
  <c r="C16" i="20"/>
  <c r="D17" i="20"/>
  <c r="E17" i="20"/>
  <c r="F17" i="20"/>
  <c r="C17" i="20"/>
  <c r="D18" i="20"/>
  <c r="E18" i="20"/>
  <c r="F18" i="20"/>
  <c r="C18" i="20"/>
  <c r="D19" i="20"/>
  <c r="E19" i="20"/>
  <c r="F19" i="20"/>
  <c r="C19" i="20"/>
  <c r="D20" i="20"/>
  <c r="E20" i="20"/>
  <c r="F20" i="20"/>
  <c r="C20" i="20"/>
  <c r="D21" i="20"/>
  <c r="E21" i="20"/>
  <c r="F21" i="20"/>
  <c r="C21" i="20"/>
  <c r="D22" i="20"/>
  <c r="E22" i="20"/>
  <c r="F22" i="20"/>
  <c r="C22" i="20"/>
  <c r="D23" i="20"/>
  <c r="E23" i="20"/>
  <c r="F23" i="20"/>
  <c r="C23" i="20"/>
  <c r="D24" i="20"/>
  <c r="E24" i="20"/>
  <c r="F24" i="20"/>
  <c r="C24" i="20"/>
  <c r="D25" i="20"/>
  <c r="E25" i="20"/>
  <c r="F25" i="20"/>
  <c r="C25" i="20"/>
  <c r="D26" i="20"/>
  <c r="E26" i="20"/>
  <c r="F26" i="20"/>
  <c r="C26" i="20"/>
  <c r="D27" i="20"/>
  <c r="E27" i="20"/>
  <c r="F27" i="20"/>
  <c r="C27" i="20"/>
  <c r="D28" i="20"/>
  <c r="E28" i="20"/>
  <c r="F28" i="20"/>
  <c r="C28" i="20"/>
  <c r="D29" i="20"/>
  <c r="E29" i="20"/>
  <c r="F29" i="20"/>
  <c r="C29" i="20"/>
  <c r="D30" i="20"/>
  <c r="E30" i="20"/>
  <c r="F30" i="20"/>
  <c r="C30" i="20"/>
  <c r="D31" i="20"/>
  <c r="E31" i="20"/>
  <c r="F31" i="20"/>
  <c r="C31" i="20"/>
  <c r="D32" i="20"/>
  <c r="E32" i="20"/>
  <c r="F32" i="20"/>
  <c r="C32" i="20"/>
  <c r="D33" i="20"/>
  <c r="E33" i="20"/>
  <c r="F33" i="20"/>
  <c r="C33" i="20"/>
  <c r="D34" i="20"/>
  <c r="E34" i="20"/>
  <c r="F34" i="20"/>
  <c r="C34" i="20"/>
  <c r="D35" i="20"/>
  <c r="E35" i="20"/>
  <c r="F35" i="20"/>
  <c r="C35" i="20"/>
  <c r="D36" i="20"/>
  <c r="E36" i="20"/>
  <c r="F36" i="20"/>
  <c r="C36" i="20"/>
  <c r="D37" i="20"/>
  <c r="E37" i="20"/>
  <c r="F37" i="20"/>
  <c r="C37" i="20"/>
  <c r="D38" i="20"/>
  <c r="E38" i="20"/>
  <c r="F38" i="20"/>
  <c r="C38" i="20"/>
  <c r="D39" i="20"/>
  <c r="E39" i="20"/>
  <c r="F39" i="20"/>
  <c r="C39" i="20"/>
  <c r="D40" i="20"/>
  <c r="E40" i="20"/>
  <c r="F40" i="20"/>
  <c r="C40" i="20"/>
  <c r="D41" i="20"/>
  <c r="E41" i="20"/>
  <c r="F41" i="20"/>
  <c r="E2" i="20"/>
  <c r="F2" i="20"/>
  <c r="F6" i="20"/>
  <c r="C41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E6" i="20"/>
  <c r="D6" i="20"/>
  <c r="C5" i="20"/>
  <c r="B41" i="2"/>
  <c r="B40" i="2"/>
  <c r="B39" i="2"/>
  <c r="B42" i="2"/>
  <c r="C38" i="26"/>
  <c r="D38" i="26"/>
  <c r="D40" i="26"/>
  <c r="E38" i="26"/>
  <c r="E40" i="26"/>
  <c r="F38" i="26"/>
  <c r="F40" i="26"/>
  <c r="G38" i="26"/>
  <c r="G40" i="26"/>
  <c r="H38" i="26"/>
  <c r="H40" i="26"/>
  <c r="I38" i="26"/>
  <c r="I40" i="26"/>
  <c r="J38" i="26"/>
  <c r="J40" i="26"/>
  <c r="K38" i="26"/>
  <c r="K40" i="26"/>
  <c r="L38" i="26"/>
  <c r="L40" i="26"/>
  <c r="M38" i="26"/>
  <c r="M40" i="26"/>
  <c r="N38" i="26"/>
  <c r="N40" i="26"/>
  <c r="O38" i="26"/>
  <c r="O40" i="26"/>
</calcChain>
</file>

<file path=xl/sharedStrings.xml><?xml version="1.0" encoding="utf-8"?>
<sst xmlns="http://schemas.openxmlformats.org/spreadsheetml/2006/main" count="104" uniqueCount="62">
  <si>
    <t>Demand</t>
  </si>
  <si>
    <t>t</t>
  </si>
  <si>
    <t>Total Months</t>
  </si>
  <si>
    <t>Level Estimate</t>
  </si>
  <si>
    <t>Forecast Error</t>
  </si>
  <si>
    <t>Squared Error</t>
  </si>
  <si>
    <t>SSE</t>
  </si>
  <si>
    <t>Standard Error</t>
  </si>
  <si>
    <t>Slope</t>
  </si>
  <si>
    <t>Degrees of Freedom</t>
  </si>
  <si>
    <t>t Test p value</t>
  </si>
  <si>
    <t>Slope Standard Error</t>
  </si>
  <si>
    <t>Level smoothing parameter (Alpha)</t>
  </si>
  <si>
    <t>One Step</t>
  </si>
  <si>
    <t>1. By comparing the SES as a flat line against the upward trend, you would notice that the trend its on the rise. How do you prove it?</t>
  </si>
  <si>
    <t xml:space="preserve">2. Prove it by fitting a linear regression to the demand data and performing a t test on the slope of that trendline. </t>
  </si>
  <si>
    <t>3. Use the LINEST function to fit a linear regression, pull the slope, standard error of the slope coefficient, and degrees of freedom. Then you can calculate your t statistic and run it through the TDIST function</t>
  </si>
  <si>
    <r>
      <t xml:space="preserve">4a. Slope of </t>
    </r>
    <r>
      <rPr>
        <i/>
        <sz val="12"/>
        <color rgb="FFFF0000"/>
        <rFont val="Calibri"/>
        <scheme val="minor"/>
      </rPr>
      <t>regression coefficient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1, 1</t>
    </r>
    <r>
      <rPr>
        <sz val="12"/>
        <color theme="1"/>
        <rFont val="Calibri"/>
        <family val="2"/>
        <scheme val="minor"/>
      </rPr>
      <t>)</t>
    </r>
  </si>
  <si>
    <r>
      <t xml:space="preserve">4b. </t>
    </r>
    <r>
      <rPr>
        <i/>
        <sz val="12"/>
        <color rgb="FFFF0000"/>
        <rFont val="Calibri"/>
        <scheme val="minor"/>
      </rPr>
      <t>Standard error</t>
    </r>
    <r>
      <rPr>
        <sz val="12"/>
        <color theme="1"/>
        <rFont val="Calibri"/>
        <family val="2"/>
        <scheme val="minor"/>
      </rPr>
      <t xml:space="preserve"> for the slope in 4a - INDEX(LINEST(B2:B37, A2:A37, TRUE, TRUE), </t>
    </r>
    <r>
      <rPr>
        <b/>
        <sz val="12"/>
        <color rgb="FFFF0000"/>
        <rFont val="Calibri"/>
        <scheme val="minor"/>
      </rPr>
      <t>2, 1</t>
    </r>
    <r>
      <rPr>
        <sz val="12"/>
        <color theme="1"/>
        <rFont val="Calibri"/>
        <family val="2"/>
        <scheme val="minor"/>
      </rPr>
      <t>)</t>
    </r>
  </si>
  <si>
    <r>
      <t xml:space="preserve">4c. </t>
    </r>
    <r>
      <rPr>
        <i/>
        <sz val="12"/>
        <color rgb="FFFF0000"/>
        <rFont val="Calibri"/>
        <scheme val="minor"/>
      </rPr>
      <t>Degree of freedom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4, 2</t>
    </r>
    <r>
      <rPr>
        <sz val="12"/>
        <color theme="1"/>
        <rFont val="Calibri"/>
        <family val="2"/>
        <scheme val="minor"/>
      </rPr>
      <t xml:space="preserve">), also the same as taking 36 data points minus 2 coeefficients from the linear regression. </t>
    </r>
  </si>
  <si>
    <t>5. Finally, using the values from 4a, 4b and 4c, use the TDIST function to calculate the t distribution - TDIST(ABS(B39/40), B41, 2)</t>
  </si>
  <si>
    <t xml:space="preserve">6. The value return ( p value) if is near 0 implying that if the trend were nonexistent in reality (slope of 0), there's no chance we would have gotten a slope so extreme from our regression. </t>
  </si>
  <si>
    <t xml:space="preserve">7. Hence, the trend is statistically significant and can be utilized. </t>
  </si>
  <si>
    <t>Trend Estimate</t>
  </si>
  <si>
    <t>Alpha</t>
  </si>
  <si>
    <t>Gamma</t>
  </si>
  <si>
    <t>Actual Demand</t>
  </si>
  <si>
    <t>One-Step Ahead Forecast</t>
  </si>
  <si>
    <t>One-Step Error</t>
  </si>
  <si>
    <t>Deviations from mean</t>
  </si>
  <si>
    <t>1. Only care about autocorrelations larger than 2/sqrt(no of data points) i.e. 2/sqrt(36) = 0.333. Need to handle both +ve and -ve 0.333</t>
  </si>
  <si>
    <t>Autocorrelation</t>
  </si>
  <si>
    <t>Critical upside</t>
  </si>
  <si>
    <t>Critical downside</t>
  </si>
  <si>
    <t>2. From  graph below, only one autocorrelation that's above the critical value, i.e. month 12</t>
  </si>
  <si>
    <r>
      <t xml:space="preserve">3. </t>
    </r>
    <r>
      <rPr>
        <b/>
        <i/>
        <sz val="12"/>
        <color rgb="FFFF0000"/>
        <rFont val="Calibri"/>
        <scheme val="minor"/>
      </rPr>
      <t>The error shifted by a year is correlated with itself. That indicates a 12-month seasonal cycle.</t>
    </r>
    <r>
      <rPr>
        <sz val="12"/>
        <color theme="1"/>
        <rFont val="Calibri"/>
        <family val="2"/>
        <scheme val="minor"/>
      </rPr>
      <t xml:space="preserve"> Not surprising as these are spikes each Christmas and dips around April/May. </t>
    </r>
  </si>
  <si>
    <t xml:space="preserve">4. Therefore, its required to have a forecasting technique that can account for seasonality -&gt; Multiplicative Holt-Winters Exponential Smoothing. </t>
  </si>
  <si>
    <t>1. Smooth out the historical data using what's called a 2x12 moving average</t>
  </si>
  <si>
    <t>2. Compare a smoothed version of the time series to the original to estimate seasonality</t>
  </si>
  <si>
    <t>3. Using the initial seasonal estimates, deseasonalize the historical data</t>
  </si>
  <si>
    <t>4. Estimate the level and trend using a trendline on the deseasonlized data</t>
  </si>
  <si>
    <t>Smoothed</t>
  </si>
  <si>
    <t>Seasonal Factor Estimate</t>
  </si>
  <si>
    <t>Initial Seasonal Factors</t>
  </si>
  <si>
    <t>% Skew</t>
  </si>
  <si>
    <t>Initial Seasonal Factos x3</t>
  </si>
  <si>
    <t>Deseasonalized Data</t>
  </si>
  <si>
    <t>Initial Trend</t>
  </si>
  <si>
    <t>Initial Level</t>
  </si>
  <si>
    <t>Level</t>
  </si>
  <si>
    <t>Trend</t>
  </si>
  <si>
    <t>Seasonal Adjustment</t>
  </si>
  <si>
    <t>One Step Forecast</t>
  </si>
  <si>
    <t>Level smoothing parameter (alpha)</t>
  </si>
  <si>
    <t>Trend smoothing parameter (gamma)</t>
  </si>
  <si>
    <t>Seasonal smoothing parameter (delta)</t>
  </si>
  <si>
    <t>Total months</t>
  </si>
  <si>
    <t>Simulated Demand</t>
  </si>
  <si>
    <t>Upper Bound</t>
  </si>
  <si>
    <t>Lower Bound</t>
  </si>
  <si>
    <t>Forecast Value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</si>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</sst>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E+00;\_x0000_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sz val="12"/>
      <color rgb="FFFF0000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1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Border="1"/>
    <xf numFmtId="0" fontId="4" fillId="0" borderId="3" xfId="0" applyFont="1" applyBorder="1"/>
    <xf numFmtId="0" fontId="4" fillId="0" borderId="4" xfId="0" applyFont="1" applyBorder="1"/>
    <xf numFmtId="2" fontId="0" fillId="0" borderId="0" xfId="0" applyNumberFormat="1" applyBorder="1"/>
    <xf numFmtId="164" fontId="0" fillId="0" borderId="0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4" fillId="0" borderId="0" xfId="0" applyFont="1" applyBorder="1"/>
    <xf numFmtId="0" fontId="0" fillId="0" borderId="0" xfId="0" applyBorder="1" applyAlignment="1">
      <alignment vertical="center"/>
    </xf>
    <xf numFmtId="0" fontId="4" fillId="0" borderId="0" xfId="0" applyFont="1"/>
    <xf numFmtId="0" fontId="0" fillId="2" borderId="0" xfId="0" applyFont="1" applyFill="1" applyBorder="1"/>
    <xf numFmtId="0" fontId="4" fillId="2" borderId="0" xfId="0" applyFont="1" applyFill="1" applyBorder="1"/>
    <xf numFmtId="0" fontId="0" fillId="2" borderId="0" xfId="0" applyFill="1"/>
    <xf numFmtId="1" fontId="0" fillId="0" borderId="0" xfId="0" applyNumberFormat="1"/>
    <xf numFmtId="0" fontId="5" fillId="0" borderId="0" xfId="0" applyFont="1"/>
    <xf numFmtId="0" fontId="4" fillId="0" borderId="0" xfId="0" applyFont="1" applyBorder="1" applyAlignment="1">
      <alignment wrapText="1"/>
    </xf>
    <xf numFmtId="0" fontId="0" fillId="0" borderId="0" xfId="0" applyFill="1" applyBorder="1" applyAlignment="1">
      <alignment vertical="center"/>
    </xf>
    <xf numFmtId="9" fontId="0" fillId="0" borderId="0" xfId="4403" applyFont="1"/>
    <xf numFmtId="2" fontId="0" fillId="3" borderId="0" xfId="0" applyNumberFormat="1" applyFill="1" applyBorder="1"/>
    <xf numFmtId="2" fontId="4" fillId="0" borderId="0" xfId="0" applyNumberFormat="1" applyFont="1" applyBorder="1" applyAlignment="1">
      <alignment wrapText="1"/>
    </xf>
    <xf numFmtId="2" fontId="4" fillId="0" borderId="0" xfId="0" applyNumberFormat="1" applyFont="1" applyFill="1" applyBorder="1" applyAlignment="1">
      <alignment wrapText="1"/>
    </xf>
    <xf numFmtId="9" fontId="4" fillId="0" borderId="0" xfId="4403" applyFont="1" applyAlignment="1">
      <alignment wrapText="1"/>
    </xf>
    <xf numFmtId="0" fontId="4" fillId="0" borderId="0" xfId="0" applyFont="1" applyAlignment="1">
      <alignment wrapText="1"/>
    </xf>
    <xf numFmtId="2" fontId="4" fillId="0" borderId="0" xfId="0" applyNumberFormat="1" applyFont="1" applyAlignment="1">
      <alignment wrapText="1"/>
    </xf>
    <xf numFmtId="0" fontId="0" fillId="0" borderId="7" xfId="0" applyBorder="1"/>
    <xf numFmtId="0" fontId="0" fillId="0" borderId="0" xfId="0" applyFont="1"/>
    <xf numFmtId="0" fontId="0" fillId="4" borderId="0" xfId="0" applyFont="1" applyFill="1" applyBorder="1"/>
    <xf numFmtId="0" fontId="0" fillId="4" borderId="0" xfId="0" applyFont="1" applyFill="1"/>
    <xf numFmtId="0" fontId="0" fillId="0" borderId="0" xfId="0" applyFont="1" applyAlignment="1">
      <alignment horizontal="right"/>
    </xf>
    <xf numFmtId="1" fontId="0" fillId="0" borderId="0" xfId="0" applyNumberFormat="1" applyFont="1" applyAlignment="1">
      <alignment horizontal="right"/>
    </xf>
  </cellXfs>
  <cellStyles count="66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Normal" xfId="0" builtinId="0"/>
    <cellStyle name="Percent" xfId="440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29416"/>
        <c:axId val="2113634888"/>
      </c:scatterChart>
      <c:valAx>
        <c:axId val="2113629416"/>
        <c:scaling>
          <c:orientation val="minMax"/>
          <c:max val="36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3634888"/>
        <c:crosses val="autoZero"/>
        <c:crossBetween val="midCat"/>
        <c:majorUnit val="6.0"/>
      </c:valAx>
      <c:valAx>
        <c:axId val="2113634888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36294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SES!$B$42:$B$53</c:f>
              <c:numCache>
                <c:formatCode>0</c:formatCode>
                <c:ptCount val="12"/>
                <c:pt idx="0">
                  <c:v>289.9010594768457</c:v>
                </c:pt>
                <c:pt idx="1">
                  <c:v>289.9010594768457</c:v>
                </c:pt>
                <c:pt idx="2">
                  <c:v>289.9010594768457</c:v>
                </c:pt>
                <c:pt idx="3">
                  <c:v>289.9010594768457</c:v>
                </c:pt>
                <c:pt idx="4">
                  <c:v>289.9010594768457</c:v>
                </c:pt>
                <c:pt idx="5">
                  <c:v>289.9010594768457</c:v>
                </c:pt>
                <c:pt idx="6">
                  <c:v>289.9010594768457</c:v>
                </c:pt>
                <c:pt idx="7">
                  <c:v>289.9010594768457</c:v>
                </c:pt>
                <c:pt idx="8">
                  <c:v>289.9010594768457</c:v>
                </c:pt>
                <c:pt idx="9">
                  <c:v>289.9010594768457</c:v>
                </c:pt>
                <c:pt idx="10">
                  <c:v>289.9010594768457</c:v>
                </c:pt>
                <c:pt idx="11">
                  <c:v>289.9010594768457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79768"/>
        <c:axId val="2113685208"/>
      </c:scatterChart>
      <c:valAx>
        <c:axId val="2113679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685208"/>
        <c:crosses val="autoZero"/>
        <c:crossBetween val="midCat"/>
      </c:valAx>
      <c:valAx>
        <c:axId val="2113685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679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</a:t>
            </a:r>
          </a:p>
          <a:p>
            <a:pPr>
              <a:defRPr/>
            </a:pPr>
            <a:r>
              <a:rPr lang="en-US"/>
              <a:t>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287342832145982"/>
                  <c:y val="-0.122314916017934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 b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730136"/>
        <c:axId val="2113735480"/>
      </c:scatterChart>
      <c:valAx>
        <c:axId val="2113730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735480"/>
        <c:crosses val="autoZero"/>
        <c:crossBetween val="midCat"/>
      </c:valAx>
      <c:valAx>
        <c:axId val="2113735480"/>
        <c:scaling>
          <c:orientation val="minMax"/>
          <c:max val="220.0"/>
          <c:min val="12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730136"/>
        <c:crosses val="autoZero"/>
        <c:crossBetween val="midCat"/>
        <c:majorUnit val="20.0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</a:t>
            </a:r>
            <a:r>
              <a:rPr lang="en-US" baseline="0"/>
              <a:t> Forecast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1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291.7094595275203</c:v>
                </c:pt>
                <c:pt idx="1">
                  <c:v>297.0538594204934</c:v>
                </c:pt>
                <c:pt idx="2">
                  <c:v>302.3982593134665</c:v>
                </c:pt>
                <c:pt idx="3">
                  <c:v>307.7426592064397</c:v>
                </c:pt>
                <c:pt idx="4">
                  <c:v>313.0870590994128</c:v>
                </c:pt>
                <c:pt idx="5">
                  <c:v>318.4314589923859</c:v>
                </c:pt>
                <c:pt idx="6">
                  <c:v>323.775858885359</c:v>
                </c:pt>
                <c:pt idx="7">
                  <c:v>329.1202587783321</c:v>
                </c:pt>
                <c:pt idx="8">
                  <c:v>334.4646586713052</c:v>
                </c:pt>
                <c:pt idx="9">
                  <c:v>339.8090585642783</c:v>
                </c:pt>
                <c:pt idx="10">
                  <c:v>345.1534584572514</c:v>
                </c:pt>
                <c:pt idx="11">
                  <c:v>350.4978583502245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767672"/>
        <c:axId val="2113773112"/>
      </c:scatterChart>
      <c:valAx>
        <c:axId val="2113767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773112"/>
        <c:crosses val="autoZero"/>
        <c:crossBetween val="midCat"/>
      </c:valAx>
      <c:valAx>
        <c:axId val="2113773112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3767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alpha val="21000"/>
              </a:schemeClr>
            </a:solidFill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-0.0347637568006126</c:v>
                </c:pt>
                <c:pt idx="1">
                  <c:v>0.055244752222823</c:v>
                </c:pt>
                <c:pt idx="2">
                  <c:v>-0.0168152874480398</c:v>
                </c:pt>
                <c:pt idx="3">
                  <c:v>-0.163061645425516</c:v>
                </c:pt>
                <c:pt idx="4">
                  <c:v>0.113243623459952</c:v>
                </c:pt>
                <c:pt idx="5">
                  <c:v>-0.179113025304616</c:v>
                </c:pt>
                <c:pt idx="6">
                  <c:v>0.131300708110709</c:v>
                </c:pt>
                <c:pt idx="7">
                  <c:v>-0.32138067316898</c:v>
                </c:pt>
                <c:pt idx="8">
                  <c:v>-0.0122976792963977</c:v>
                </c:pt>
                <c:pt idx="9">
                  <c:v>-0.107093827926389</c:v>
                </c:pt>
                <c:pt idx="10">
                  <c:v>0.0537561480648622</c:v>
                </c:pt>
                <c:pt idx="11">
                  <c:v>0.404258709996945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9977720"/>
        <c:axId val="2109972280"/>
      </c:barChart>
      <c:lineChart>
        <c:grouping val="standard"/>
        <c:varyColors val="0"/>
        <c:ser>
          <c:idx val="1"/>
          <c:order val="1"/>
          <c:spPr>
            <a:ln>
              <a:prstDash val="sysDot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'Holt''s Autocorrelation'!$D$43:$O$43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977720"/>
        <c:axId val="2109972280"/>
      </c:lineChart>
      <c:catAx>
        <c:axId val="2109977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09972280"/>
        <c:crosses val="autoZero"/>
        <c:auto val="1"/>
        <c:lblAlgn val="ctr"/>
        <c:lblOffset val="100"/>
        <c:noMultiLvlLbl val="0"/>
      </c:catAx>
      <c:valAx>
        <c:axId val="2109972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09977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Results of 2x12 MA Smoother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Unsmoothed</c:v>
          </c:tx>
          <c:marker>
            <c:symbol val="none"/>
          </c:marker>
          <c:xVal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HoltWintersInitial!$B$8:$B$31</c:f>
              <c:numCache>
                <c:formatCode>General</c:formatCode>
                <c:ptCount val="24"/>
                <c:pt idx="0">
                  <c:v>152.0</c:v>
                </c:pt>
                <c:pt idx="1">
                  <c:v>150.0</c:v>
                </c:pt>
                <c:pt idx="2">
                  <c:v>159.0</c:v>
                </c:pt>
                <c:pt idx="3">
                  <c:v>169.0</c:v>
                </c:pt>
                <c:pt idx="4">
                  <c:v>173.0</c:v>
                </c:pt>
                <c:pt idx="5">
                  <c:v>203.0</c:v>
                </c:pt>
                <c:pt idx="6">
                  <c:v>169.0</c:v>
                </c:pt>
                <c:pt idx="7">
                  <c:v>166.0</c:v>
                </c:pt>
                <c:pt idx="8">
                  <c:v>162.0</c:v>
                </c:pt>
                <c:pt idx="9">
                  <c:v>147.0</c:v>
                </c:pt>
                <c:pt idx="10">
                  <c:v>188.0</c:v>
                </c:pt>
                <c:pt idx="11">
                  <c:v>161.0</c:v>
                </c:pt>
                <c:pt idx="12">
                  <c:v>162.0</c:v>
                </c:pt>
                <c:pt idx="13">
                  <c:v>169.0</c:v>
                </c:pt>
                <c:pt idx="14">
                  <c:v>185.0</c:v>
                </c:pt>
                <c:pt idx="15">
                  <c:v>188.0</c:v>
                </c:pt>
                <c:pt idx="16">
                  <c:v>200.0</c:v>
                </c:pt>
                <c:pt idx="17">
                  <c:v>229.0</c:v>
                </c:pt>
                <c:pt idx="18">
                  <c:v>189.0</c:v>
                </c:pt>
                <c:pt idx="19">
                  <c:v>218.0</c:v>
                </c:pt>
                <c:pt idx="20">
                  <c:v>185.0</c:v>
                </c:pt>
                <c:pt idx="21">
                  <c:v>199.0</c:v>
                </c:pt>
                <c:pt idx="22">
                  <c:v>210.0</c:v>
                </c:pt>
                <c:pt idx="23">
                  <c:v>193.0</c:v>
                </c:pt>
              </c:numCache>
            </c:numRef>
          </c:yVal>
          <c:smooth val="0"/>
        </c:ser>
        <c:ser>
          <c:idx val="0"/>
          <c:order val="1"/>
          <c:tx>
            <c:v>Smoothed</c:v>
          </c:tx>
          <c:marker>
            <c:symbol val="none"/>
          </c:marker>
          <c:xVal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HoltWintersInitial!$C$8:$C$31</c:f>
              <c:numCache>
                <c:formatCode>0.00</c:formatCode>
                <c:ptCount val="24"/>
                <c:pt idx="0">
                  <c:v>163.1666666666667</c:v>
                </c:pt>
                <c:pt idx="1">
                  <c:v>163.125</c:v>
                </c:pt>
                <c:pt idx="2">
                  <c:v>163.5416666666667</c:v>
                </c:pt>
                <c:pt idx="3">
                  <c:v>164.3333333333333</c:v>
                </c:pt>
                <c:pt idx="4">
                  <c:v>165.5</c:v>
                </c:pt>
                <c:pt idx="5">
                  <c:v>166.5416666666667</c:v>
                </c:pt>
                <c:pt idx="6">
                  <c:v>167.0</c:v>
                </c:pt>
                <c:pt idx="7">
                  <c:v>168.2083333333333</c:v>
                </c:pt>
                <c:pt idx="8">
                  <c:v>170.0833333333333</c:v>
                </c:pt>
                <c:pt idx="9">
                  <c:v>171.9583333333333</c:v>
                </c:pt>
                <c:pt idx="10">
                  <c:v>173.875</c:v>
                </c:pt>
                <c:pt idx="11">
                  <c:v>176.0833333333333</c:v>
                </c:pt>
                <c:pt idx="12">
                  <c:v>178.0</c:v>
                </c:pt>
                <c:pt idx="13">
                  <c:v>181.0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</c:v>
                </c:pt>
                <c:pt idx="17">
                  <c:v>192.5833333333333</c:v>
                </c:pt>
                <c:pt idx="18">
                  <c:v>195.9583333333333</c:v>
                </c:pt>
                <c:pt idx="19">
                  <c:v>199.625</c:v>
                </c:pt>
                <c:pt idx="20">
                  <c:v>202.5416666666667</c:v>
                </c:pt>
                <c:pt idx="21">
                  <c:v>205.0833333333333</c:v>
                </c:pt>
                <c:pt idx="22">
                  <c:v>209.0</c:v>
                </c:pt>
                <c:pt idx="23">
                  <c:v>214.7916666666667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387496"/>
        <c:axId val="2080392904"/>
      </c:scatterChart>
      <c:valAx>
        <c:axId val="2080387496"/>
        <c:scaling>
          <c:orientation val="minMax"/>
          <c:max val="30.0"/>
          <c:min val="7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0392904"/>
        <c:crosses val="autoZero"/>
        <c:crossBetween val="midCat"/>
        <c:majorUnit val="2.0"/>
      </c:valAx>
      <c:valAx>
        <c:axId val="2080392904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0387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-0.0117666007555375</c:v>
                </c:pt>
                <c:pt idx="1">
                  <c:v>0.0394595142086607</c:v>
                </c:pt>
                <c:pt idx="2">
                  <c:v>-0.0670667082875522</c:v>
                </c:pt>
                <c:pt idx="3">
                  <c:v>-0.0874022440894528</c:v>
                </c:pt>
                <c:pt idx="4">
                  <c:v>0.0430106047420362</c:v>
                </c:pt>
                <c:pt idx="5">
                  <c:v>-0.0935575484633254</c:v>
                </c:pt>
                <c:pt idx="6">
                  <c:v>-0.0791624106230848</c:v>
                </c:pt>
                <c:pt idx="7">
                  <c:v>-0.0733790563281895</c:v>
                </c:pt>
                <c:pt idx="8">
                  <c:v>-0.0115092471277043</c:v>
                </c:pt>
                <c:pt idx="9">
                  <c:v>0.0162014531884298</c:v>
                </c:pt>
                <c:pt idx="10">
                  <c:v>0.0480526558060541</c:v>
                </c:pt>
                <c:pt idx="11">
                  <c:v>0.204004907618403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2009816"/>
        <c:axId val="2120946328"/>
      </c:barChart>
      <c:catAx>
        <c:axId val="21320098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0946328"/>
        <c:crosses val="autoZero"/>
        <c:auto val="1"/>
        <c:lblAlgn val="ctr"/>
        <c:lblOffset val="100"/>
        <c:noMultiLvlLbl val="0"/>
      </c:catAx>
      <c:valAx>
        <c:axId val="21209463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32009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0.21703937007874"/>
                  <c:y val="-0.088264435695538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166.9646058574301</c:v>
                </c:pt>
                <c:pt idx="1">
                  <c:v>164.5085716784093</c:v>
                </c:pt>
                <c:pt idx="2">
                  <c:v>157.5675359705235</c:v>
                </c:pt>
                <c:pt idx="3">
                  <c:v>156.6955420105338</c:v>
                </c:pt>
                <c:pt idx="4">
                  <c:v>157.237135705405</c:v>
                </c:pt>
                <c:pt idx="5">
                  <c:v>176.5142395181901</c:v>
                </c:pt>
                <c:pt idx="6">
                  <c:v>165.0671103716029</c:v>
                </c:pt>
                <c:pt idx="7">
                  <c:v>161.8784909022376</c:v>
                </c:pt>
                <c:pt idx="8">
                  <c:v>160.8512770989385</c:v>
                </c:pt>
                <c:pt idx="9">
                  <c:v>166.3056074853527</c:v>
                </c:pt>
                <c:pt idx="10">
                  <c:v>165.0680421843368</c:v>
                </c:pt>
                <c:pt idx="11">
                  <c:v>168.6039639170131</c:v>
                </c:pt>
                <c:pt idx="12">
                  <c:v>171.012232666095</c:v>
                </c:pt>
                <c:pt idx="13">
                  <c:v>159.6983795240699</c:v>
                </c:pt>
                <c:pt idx="14">
                  <c:v>173.6458559675157</c:v>
                </c:pt>
                <c:pt idx="15">
                  <c:v>161.0786340947445</c:v>
                </c:pt>
                <c:pt idx="16">
                  <c:v>180.2474482476593</c:v>
                </c:pt>
                <c:pt idx="17">
                  <c:v>177.6174535151788</c:v>
                </c:pt>
                <c:pt idx="18">
                  <c:v>175.9267886855241</c:v>
                </c:pt>
                <c:pt idx="19">
                  <c:v>182.3830997498544</c:v>
                </c:pt>
                <c:pt idx="20">
                  <c:v>187.1540016559977</c:v>
                </c:pt>
                <c:pt idx="21">
                  <c:v>185.002687616842</c:v>
                </c:pt>
                <c:pt idx="22">
                  <c:v>190.8301065714877</c:v>
                </c:pt>
                <c:pt idx="23">
                  <c:v>190.1985602807685</c:v>
                </c:pt>
                <c:pt idx="24">
                  <c:v>191.2503667094199</c:v>
                </c:pt>
                <c:pt idx="25">
                  <c:v>209.7243779292002</c:v>
                </c:pt>
                <c:pt idx="26">
                  <c:v>198.2992799629037</c:v>
                </c:pt>
                <c:pt idx="27">
                  <c:v>218.0588311894841</c:v>
                </c:pt>
                <c:pt idx="28">
                  <c:v>201.3402347447258</c:v>
                </c:pt>
                <c:pt idx="29">
                  <c:v>212.9203014188168</c:v>
                </c:pt>
                <c:pt idx="30">
                  <c:v>229.1392124237382</c:v>
                </c:pt>
                <c:pt idx="31">
                  <c:v>224.4715073844362</c:v>
                </c:pt>
                <c:pt idx="32">
                  <c:v>218.5149424740297</c:v>
                </c:pt>
                <c:pt idx="33">
                  <c:v>214.5243930876147</c:v>
                </c:pt>
                <c:pt idx="34">
                  <c:v>251.8957406743637</c:v>
                </c:pt>
                <c:pt idx="35">
                  <c:v>252.4906651762167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719448"/>
        <c:axId val="2133405624"/>
      </c:scatterChart>
      <c:valAx>
        <c:axId val="2087719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33405624"/>
        <c:crosses val="autoZero"/>
        <c:crossBetween val="midCat"/>
      </c:valAx>
      <c:valAx>
        <c:axId val="2133405624"/>
        <c:scaling>
          <c:orientation val="minMax"/>
          <c:max val="260.0"/>
          <c:min val="15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Deseasonalized</a:t>
                </a:r>
                <a:r>
                  <a:rPr lang="en-US" baseline="0"/>
                  <a:t> Demand</a:t>
                </a:r>
                <a:endParaRPr lang="en-US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87719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Holts-Winter</a:t>
            </a:r>
            <a:r>
              <a:rPr lang="en-US" baseline="0"/>
              <a:t> Forecast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HoltWintersSeasonal!$B$53:$B$64</c:f>
              <c:numCache>
                <c:formatCode>General</c:formatCode>
                <c:ptCount val="12"/>
                <c:pt idx="0">
                  <c:v>245.400822446921</c:v>
                </c:pt>
                <c:pt idx="1">
                  <c:v>263.541841529985</c:v>
                </c:pt>
                <c:pt idx="2">
                  <c:v>241.3983760284097</c:v>
                </c:pt>
                <c:pt idx="3">
                  <c:v>240.8953862769333</c:v>
                </c:pt>
                <c:pt idx="4">
                  <c:v>280.7589587596445</c:v>
                </c:pt>
                <c:pt idx="5">
                  <c:v>248.724138210811</c:v>
                </c:pt>
                <c:pt idx="6">
                  <c:v>257.4759447957779</c:v>
                </c:pt>
                <c:pt idx="7">
                  <c:v>263.9250291009161</c:v>
                </c:pt>
                <c:pt idx="8">
                  <c:v>286.7017382472587</c:v>
                </c:pt>
                <c:pt idx="9">
                  <c:v>300.0380739435944</c:v>
                </c:pt>
                <c:pt idx="10">
                  <c:v>314.9075057111324</c:v>
                </c:pt>
                <c:pt idx="11">
                  <c:v>368.0448039489203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488952"/>
        <c:axId val="2134617864"/>
      </c:scatterChart>
      <c:valAx>
        <c:axId val="2109488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4617864"/>
        <c:crosses val="autoZero"/>
        <c:crossBetween val="midCat"/>
      </c:valAx>
      <c:valAx>
        <c:axId val="2134617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09488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alpha val="21000"/>
              </a:schemeClr>
            </a:solidFill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0.0258621655170409</c:v>
                </c:pt>
                <c:pt idx="1">
                  <c:v>-0.101290345632393</c:v>
                </c:pt>
                <c:pt idx="2">
                  <c:v>-0.130806479842819</c:v>
                </c:pt>
                <c:pt idx="3">
                  <c:v>0.144970216011181</c:v>
                </c:pt>
                <c:pt idx="4">
                  <c:v>0.273516356157767</c:v>
                </c:pt>
                <c:pt idx="5">
                  <c:v>-0.149421498465634</c:v>
                </c:pt>
                <c:pt idx="6">
                  <c:v>-0.064104064537743</c:v>
                </c:pt>
                <c:pt idx="7">
                  <c:v>-0.147892522318778</c:v>
                </c:pt>
                <c:pt idx="8">
                  <c:v>0.0849567613723509</c:v>
                </c:pt>
                <c:pt idx="9">
                  <c:v>-0.0809405587823152</c:v>
                </c:pt>
                <c:pt idx="10">
                  <c:v>0.0732017411117631</c:v>
                </c:pt>
                <c:pt idx="11">
                  <c:v>-0.215298575133719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382888"/>
        <c:axId val="2112388312"/>
      </c:barChart>
      <c:lineChart>
        <c:grouping val="standard"/>
        <c:varyColors val="0"/>
        <c:ser>
          <c:idx val="1"/>
          <c:order val="1"/>
          <c:spPr>
            <a:ln>
              <a:prstDash val="sysDot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'HW Autocorrelation'!$D$43:$O$43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382888"/>
        <c:axId val="2112388312"/>
      </c:lineChart>
      <c:catAx>
        <c:axId val="2112382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12388312"/>
        <c:crosses val="autoZero"/>
        <c:auto val="1"/>
        <c:lblAlgn val="ctr"/>
        <c:lblOffset val="100"/>
        <c:noMultiLvlLbl val="0"/>
      </c:catAx>
      <c:valAx>
        <c:axId val="2112388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2382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Upper Bound</c:v>
          </c:tx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Chart'!$A$2:$L$2</c:f>
              <c:numCache>
                <c:formatCode>0</c:formatCode>
                <c:ptCount val="12"/>
                <c:pt idx="0">
                  <c:v>265.3537975049758</c:v>
                </c:pt>
                <c:pt idx="1">
                  <c:v>285.8710787258847</c:v>
                </c:pt>
                <c:pt idx="2">
                  <c:v>264.4761219967506</c:v>
                </c:pt>
                <c:pt idx="3">
                  <c:v>267.2551190613238</c:v>
                </c:pt>
                <c:pt idx="4">
                  <c:v>311.812175274296</c:v>
                </c:pt>
                <c:pt idx="5">
                  <c:v>279.2152159336828</c:v>
                </c:pt>
                <c:pt idx="6">
                  <c:v>290.5648451100166</c:v>
                </c:pt>
                <c:pt idx="7">
                  <c:v>300.6273382169675</c:v>
                </c:pt>
                <c:pt idx="8">
                  <c:v>329.7370019266302</c:v>
                </c:pt>
                <c:pt idx="9">
                  <c:v>349.9861609661637</c:v>
                </c:pt>
                <c:pt idx="10">
                  <c:v>371.250948388485</c:v>
                </c:pt>
                <c:pt idx="11">
                  <c:v>439.4274742487174</c:v>
                </c:pt>
              </c:numCache>
            </c:numRef>
          </c:val>
        </c:ser>
        <c:ser>
          <c:idx val="1"/>
          <c:order val="1"/>
          <c:tx>
            <c:v>Forecast</c:v>
          </c:tx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Chart'!$A$3:$L$3</c:f>
              <c:numCache>
                <c:formatCode>0</c:formatCode>
                <c:ptCount val="12"/>
                <c:pt idx="0">
                  <c:v>245.400822446921</c:v>
                </c:pt>
                <c:pt idx="1">
                  <c:v>263.541841529985</c:v>
                </c:pt>
                <c:pt idx="2">
                  <c:v>241.3983760284097</c:v>
                </c:pt>
                <c:pt idx="3">
                  <c:v>240.8953862769333</c:v>
                </c:pt>
                <c:pt idx="4">
                  <c:v>280.7589587596445</c:v>
                </c:pt>
                <c:pt idx="5">
                  <c:v>248.724138210811</c:v>
                </c:pt>
                <c:pt idx="6">
                  <c:v>257.4759447957779</c:v>
                </c:pt>
                <c:pt idx="7">
                  <c:v>263.9250291009161</c:v>
                </c:pt>
                <c:pt idx="8">
                  <c:v>286.7017382472587</c:v>
                </c:pt>
                <c:pt idx="9">
                  <c:v>300.0380739435944</c:v>
                </c:pt>
                <c:pt idx="10">
                  <c:v>314.9075057111324</c:v>
                </c:pt>
                <c:pt idx="11">
                  <c:v>368.0448039489203</c:v>
                </c:pt>
              </c:numCache>
            </c:numRef>
          </c:val>
        </c:ser>
        <c:ser>
          <c:idx val="2"/>
          <c:order val="2"/>
          <c:tx>
            <c:v>Lower Bound</c:v>
          </c:tx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Chart'!$A$4:$L$4</c:f>
              <c:numCache>
                <c:formatCode>0</c:formatCode>
                <c:ptCount val="12"/>
                <c:pt idx="0">
                  <c:v>224.9040946601941</c:v>
                </c:pt>
                <c:pt idx="1">
                  <c:v>239.6977214151419</c:v>
                </c:pt>
                <c:pt idx="2">
                  <c:v>217.5903547449066</c:v>
                </c:pt>
                <c:pt idx="3">
                  <c:v>215.905255995268</c:v>
                </c:pt>
                <c:pt idx="4">
                  <c:v>251.4463684353387</c:v>
                </c:pt>
                <c:pt idx="5">
                  <c:v>218.93209168238</c:v>
                </c:pt>
                <c:pt idx="6">
                  <c:v>221.1059706367603</c:v>
                </c:pt>
                <c:pt idx="7">
                  <c:v>226.2314697121154</c:v>
                </c:pt>
                <c:pt idx="8">
                  <c:v>244.0149148457562</c:v>
                </c:pt>
                <c:pt idx="9">
                  <c:v>251.806376224577</c:v>
                </c:pt>
                <c:pt idx="10">
                  <c:v>261.9260791368522</c:v>
                </c:pt>
                <c:pt idx="11">
                  <c:v>299.4763784955027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958040"/>
        <c:axId val="2112054232"/>
      </c:areaChart>
      <c:catAx>
        <c:axId val="2111958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2054232"/>
        <c:crosses val="autoZero"/>
        <c:auto val="1"/>
        <c:lblAlgn val="ctr"/>
        <c:lblOffset val="100"/>
        <c:noMultiLvlLbl val="0"/>
      </c:catAx>
      <c:valAx>
        <c:axId val="2112054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11195804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Relationship Id="rId3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4</xdr:row>
      <xdr:rowOff>165100</xdr:rowOff>
    </xdr:from>
    <xdr:to>
      <xdr:col>13</xdr:col>
      <xdr:colOff>787400</xdr:colOff>
      <xdr:row>25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5</xdr:row>
      <xdr:rowOff>12700</xdr:rowOff>
    </xdr:from>
    <xdr:to>
      <xdr:col>17</xdr:col>
      <xdr:colOff>635000</xdr:colOff>
      <xdr:row>28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50800</xdr:colOff>
      <xdr:row>29</xdr:row>
      <xdr:rowOff>139700</xdr:rowOff>
    </xdr:from>
    <xdr:to>
      <xdr:col>17</xdr:col>
      <xdr:colOff>635000</xdr:colOff>
      <xdr:row>48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12</xdr:row>
      <xdr:rowOff>82550</xdr:rowOff>
    </xdr:from>
    <xdr:to>
      <xdr:col>24</xdr:col>
      <xdr:colOff>800100</xdr:colOff>
      <xdr:row>39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165100</xdr:colOff>
      <xdr:row>17</xdr:row>
      <xdr:rowOff>12700</xdr:rowOff>
    </xdr:from>
    <xdr:to>
      <xdr:col>15</xdr:col>
      <xdr:colOff>25400</xdr:colOff>
      <xdr:row>38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14</xdr:row>
      <xdr:rowOff>63506</xdr:rowOff>
    </xdr:from>
    <xdr:to>
      <xdr:col>6</xdr:col>
      <xdr:colOff>393700</xdr:colOff>
      <xdr:row>24</xdr:row>
      <xdr:rowOff>88900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</xdr:row>
      <xdr:rowOff>127000</xdr:rowOff>
    </xdr:from>
    <xdr:to>
      <xdr:col>13</xdr:col>
      <xdr:colOff>406400</xdr:colOff>
      <xdr:row>16</xdr:row>
      <xdr:rowOff>12700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52</xdr:row>
      <xdr:rowOff>82550</xdr:rowOff>
    </xdr:from>
    <xdr:to>
      <xdr:col>12</xdr:col>
      <xdr:colOff>609600</xdr:colOff>
      <xdr:row>66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12</xdr:row>
      <xdr:rowOff>82550</xdr:rowOff>
    </xdr:from>
    <xdr:to>
      <xdr:col>24</xdr:col>
      <xdr:colOff>800100</xdr:colOff>
      <xdr:row>39</xdr:row>
      <xdr:rowOff>63500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5</xdr:row>
      <xdr:rowOff>25400</xdr:rowOff>
    </xdr:from>
    <xdr:to>
      <xdr:col>11</xdr:col>
      <xdr:colOff>12700</xdr:colOff>
      <xdr:row>32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zoomScale="150" zoomScaleNormal="150" zoomScalePageLayoutView="150" workbookViewId="0">
      <selection sqref="A1:B37"/>
    </sheetView>
  </sheetViews>
  <sheetFormatPr baseColWidth="10" defaultColWidth="11" defaultRowHeight="15" x14ac:dyDescent="0"/>
  <cols>
    <col min="1" max="1" width="6.33203125" customWidth="1"/>
    <col min="2" max="2" width="12.1640625" style="3" bestFit="1" customWidth="1"/>
  </cols>
  <sheetData>
    <row r="1" spans="1:2">
      <c r="A1" s="4" t="s">
        <v>1</v>
      </c>
      <c r="B1" s="5" t="s">
        <v>0</v>
      </c>
    </row>
    <row r="2" spans="1:2" s="10" customFormat="1" ht="12" customHeight="1">
      <c r="A2" s="8">
        <v>1</v>
      </c>
      <c r="B2" s="9">
        <v>165</v>
      </c>
    </row>
    <row r="3" spans="1:2" s="10" customFormat="1" ht="12" customHeight="1">
      <c r="A3" s="8">
        <v>2</v>
      </c>
      <c r="B3" s="9">
        <v>171</v>
      </c>
    </row>
    <row r="4" spans="1:2" s="10" customFormat="1" ht="12" customHeight="1">
      <c r="A4" s="8">
        <v>3</v>
      </c>
      <c r="B4" s="9">
        <v>147</v>
      </c>
    </row>
    <row r="5" spans="1:2" s="10" customFormat="1" ht="12" customHeight="1">
      <c r="A5" s="8">
        <v>4</v>
      </c>
      <c r="B5" s="9">
        <v>143</v>
      </c>
    </row>
    <row r="6" spans="1:2" s="10" customFormat="1" ht="12" customHeight="1">
      <c r="A6" s="8">
        <v>5</v>
      </c>
      <c r="B6" s="9">
        <v>164</v>
      </c>
    </row>
    <row r="7" spans="1:2" s="10" customFormat="1" ht="12" customHeight="1">
      <c r="A7" s="8">
        <v>6</v>
      </c>
      <c r="B7" s="9">
        <v>160</v>
      </c>
    </row>
    <row r="8" spans="1:2" s="10" customFormat="1" ht="12" customHeight="1">
      <c r="A8" s="8">
        <v>7</v>
      </c>
      <c r="B8" s="9">
        <v>152</v>
      </c>
    </row>
    <row r="9" spans="1:2" s="10" customFormat="1" ht="12" customHeight="1">
      <c r="A9" s="8">
        <v>8</v>
      </c>
      <c r="B9" s="9">
        <v>150</v>
      </c>
    </row>
    <row r="10" spans="1:2" s="10" customFormat="1" ht="12" customHeight="1">
      <c r="A10" s="8">
        <v>9</v>
      </c>
      <c r="B10" s="9">
        <v>159</v>
      </c>
    </row>
    <row r="11" spans="1:2" s="10" customFormat="1" ht="12" customHeight="1">
      <c r="A11" s="8">
        <v>10</v>
      </c>
      <c r="B11" s="9">
        <v>169</v>
      </c>
    </row>
    <row r="12" spans="1:2" s="10" customFormat="1" ht="12" customHeight="1">
      <c r="A12" s="8">
        <v>11</v>
      </c>
      <c r="B12" s="9">
        <v>173</v>
      </c>
    </row>
    <row r="13" spans="1:2" s="10" customFormat="1" ht="12" customHeight="1">
      <c r="A13" s="8">
        <v>12</v>
      </c>
      <c r="B13" s="9">
        <v>203</v>
      </c>
    </row>
    <row r="14" spans="1:2" s="10" customFormat="1" ht="12" customHeight="1">
      <c r="A14" s="8">
        <v>13</v>
      </c>
      <c r="B14" s="9">
        <v>169</v>
      </c>
    </row>
    <row r="15" spans="1:2" s="10" customFormat="1" ht="12" customHeight="1">
      <c r="A15" s="8">
        <v>14</v>
      </c>
      <c r="B15" s="9">
        <v>166</v>
      </c>
    </row>
    <row r="16" spans="1:2" s="10" customFormat="1" ht="12" customHeight="1">
      <c r="A16" s="8">
        <v>15</v>
      </c>
      <c r="B16" s="9">
        <v>162</v>
      </c>
    </row>
    <row r="17" spans="1:2" s="10" customFormat="1" ht="12" customHeight="1">
      <c r="A17" s="8">
        <v>16</v>
      </c>
      <c r="B17" s="9">
        <v>147</v>
      </c>
    </row>
    <row r="18" spans="1:2" s="10" customFormat="1" ht="12" customHeight="1">
      <c r="A18" s="8">
        <v>17</v>
      </c>
      <c r="B18" s="9">
        <v>188</v>
      </c>
    </row>
    <row r="19" spans="1:2" s="10" customFormat="1" ht="12" customHeight="1">
      <c r="A19" s="8">
        <v>18</v>
      </c>
      <c r="B19" s="9">
        <v>161</v>
      </c>
    </row>
    <row r="20" spans="1:2" s="10" customFormat="1" ht="12" customHeight="1">
      <c r="A20" s="8">
        <v>19</v>
      </c>
      <c r="B20" s="9">
        <v>162</v>
      </c>
    </row>
    <row r="21" spans="1:2" s="10" customFormat="1" ht="12" customHeight="1">
      <c r="A21" s="8">
        <v>20</v>
      </c>
      <c r="B21" s="9">
        <v>169</v>
      </c>
    </row>
    <row r="22" spans="1:2" s="10" customFormat="1" ht="12" customHeight="1">
      <c r="A22" s="8">
        <v>21</v>
      </c>
      <c r="B22" s="9">
        <v>185</v>
      </c>
    </row>
    <row r="23" spans="1:2" s="10" customFormat="1" ht="12" customHeight="1">
      <c r="A23" s="8">
        <v>22</v>
      </c>
      <c r="B23" s="9">
        <v>188</v>
      </c>
    </row>
    <row r="24" spans="1:2" s="10" customFormat="1" ht="12" customHeight="1">
      <c r="A24" s="8">
        <v>23</v>
      </c>
      <c r="B24" s="9">
        <v>200</v>
      </c>
    </row>
    <row r="25" spans="1:2" s="10" customFormat="1" ht="12" customHeight="1">
      <c r="A25" s="8">
        <v>24</v>
      </c>
      <c r="B25" s="9">
        <v>229</v>
      </c>
    </row>
    <row r="26" spans="1:2" s="10" customFormat="1" ht="12" customHeight="1">
      <c r="A26" s="8">
        <v>25</v>
      </c>
      <c r="B26" s="9">
        <v>189</v>
      </c>
    </row>
    <row r="27" spans="1:2" s="10" customFormat="1" ht="12" customHeight="1">
      <c r="A27" s="8">
        <v>26</v>
      </c>
      <c r="B27" s="9">
        <v>218</v>
      </c>
    </row>
    <row r="28" spans="1:2" s="10" customFormat="1" ht="12" customHeight="1">
      <c r="A28" s="8">
        <v>27</v>
      </c>
      <c r="B28" s="9">
        <v>185</v>
      </c>
    </row>
    <row r="29" spans="1:2" s="10" customFormat="1" ht="12" customHeight="1">
      <c r="A29" s="8">
        <v>28</v>
      </c>
      <c r="B29" s="9">
        <v>199</v>
      </c>
    </row>
    <row r="30" spans="1:2" s="10" customFormat="1" ht="12" customHeight="1">
      <c r="A30" s="8">
        <v>29</v>
      </c>
      <c r="B30" s="9">
        <v>210</v>
      </c>
    </row>
    <row r="31" spans="1:2" s="10" customFormat="1" ht="12" customHeight="1">
      <c r="A31" s="8">
        <v>30</v>
      </c>
      <c r="B31" s="9">
        <v>193</v>
      </c>
    </row>
    <row r="32" spans="1:2" s="10" customFormat="1" ht="12" customHeight="1">
      <c r="A32" s="8">
        <v>31</v>
      </c>
      <c r="B32" s="9">
        <v>211</v>
      </c>
    </row>
    <row r="33" spans="1:2" s="10" customFormat="1" ht="12" customHeight="1">
      <c r="A33" s="8">
        <v>32</v>
      </c>
      <c r="B33" s="9">
        <v>208</v>
      </c>
    </row>
    <row r="34" spans="1:2" s="10" customFormat="1" ht="12" customHeight="1">
      <c r="A34" s="8">
        <v>33</v>
      </c>
      <c r="B34" s="9">
        <v>216</v>
      </c>
    </row>
    <row r="35" spans="1:2" s="10" customFormat="1" ht="12" customHeight="1">
      <c r="A35" s="8">
        <v>34</v>
      </c>
      <c r="B35" s="9">
        <v>218</v>
      </c>
    </row>
    <row r="36" spans="1:2" s="10" customFormat="1" ht="12" customHeight="1">
      <c r="A36" s="8">
        <v>35</v>
      </c>
      <c r="B36" s="9">
        <v>264</v>
      </c>
    </row>
    <row r="37" spans="1:2" s="10" customFormat="1" ht="12" customHeight="1">
      <c r="A37" s="11">
        <v>36</v>
      </c>
      <c r="B37" s="12">
        <v>304</v>
      </c>
    </row>
    <row r="39" spans="1:2">
      <c r="A39" t="s">
        <v>8</v>
      </c>
      <c r="B39" s="6">
        <f>INDEX(LINEST(B2:B37,A2:A37,TRUE,TRUE),1,1)</f>
        <v>2.5386100386100385</v>
      </c>
    </row>
    <row r="40" spans="1:2">
      <c r="A40" t="s">
        <v>11</v>
      </c>
      <c r="B40" s="6">
        <f>INDEX(LINEST(B2:B37,A2:A37,TRUE,TRUE),2,1)</f>
        <v>0.34018172051263179</v>
      </c>
    </row>
    <row r="41" spans="1:2">
      <c r="A41" t="s">
        <v>9</v>
      </c>
      <c r="B41" s="3">
        <f>INDEX(LINEST(B2:B37,A2:A37,TRUE,TRUE),4,2)</f>
        <v>34</v>
      </c>
    </row>
    <row r="42" spans="1:2">
      <c r="A42" t="s">
        <v>10</v>
      </c>
      <c r="B42" s="7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workbookViewId="0">
      <pane ySplit="4" topLeftCell="A24" activePane="bottomLeft" state="frozen"/>
      <selection pane="bottomLeft" activeCell="E2" sqref="E2"/>
    </sheetView>
  </sheetViews>
  <sheetFormatPr baseColWidth="10" defaultRowHeight="15" x14ac:dyDescent="0"/>
  <cols>
    <col min="3" max="3" width="16" customWidth="1"/>
  </cols>
  <sheetData>
    <row r="1" spans="1:6" ht="45">
      <c r="A1" t="s">
        <v>2</v>
      </c>
      <c r="C1" s="1" t="s">
        <v>12</v>
      </c>
      <c r="E1" t="s">
        <v>6</v>
      </c>
      <c r="F1" t="s">
        <v>7</v>
      </c>
    </row>
    <row r="2" spans="1:6">
      <c r="A2">
        <v>36</v>
      </c>
      <c r="C2">
        <v>0.73208981896753667</v>
      </c>
      <c r="E2" s="2">
        <f>SUM(F6:F41)</f>
        <v>14555.771064023978</v>
      </c>
      <c r="F2">
        <f>SQRT(E2/(36-1))</f>
        <v>20.393115830049805</v>
      </c>
    </row>
    <row r="4" spans="1:6">
      <c r="A4" s="13" t="s">
        <v>1</v>
      </c>
      <c r="B4" s="13" t="s">
        <v>0</v>
      </c>
      <c r="C4" s="15" t="s">
        <v>3</v>
      </c>
      <c r="D4" s="15" t="s">
        <v>13</v>
      </c>
      <c r="E4" s="15" t="s">
        <v>4</v>
      </c>
      <c r="F4" s="15" t="s">
        <v>5</v>
      </c>
    </row>
    <row r="5" spans="1:6">
      <c r="A5" s="16">
        <v>0</v>
      </c>
      <c r="B5" s="17"/>
      <c r="C5" s="18">
        <f>AVERAGE(B6:B17)</f>
        <v>163</v>
      </c>
      <c r="D5" s="18"/>
      <c r="E5" s="18"/>
      <c r="F5" s="18"/>
    </row>
    <row r="6" spans="1:6">
      <c r="A6" s="14">
        <v>1</v>
      </c>
      <c r="B6" s="14">
        <v>165</v>
      </c>
      <c r="C6">
        <f>C5+$C$2*E6</f>
        <v>164.46417963793508</v>
      </c>
      <c r="D6">
        <f>C5</f>
        <v>163</v>
      </c>
      <c r="E6">
        <f>B6-D6</f>
        <v>2</v>
      </c>
      <c r="F6">
        <f>E6^2</f>
        <v>4</v>
      </c>
    </row>
    <row r="7" spans="1:6">
      <c r="A7" s="14">
        <v>2</v>
      </c>
      <c r="B7" s="14">
        <v>171</v>
      </c>
      <c r="C7" s="19">
        <f t="shared" ref="C7:C41" si="0">C6+$C$2*E7</f>
        <v>169.24898718360353</v>
      </c>
      <c r="D7" s="19">
        <f t="shared" ref="D7:D41" si="1">C6</f>
        <v>164.46417963793508</v>
      </c>
      <c r="E7" s="19">
        <f t="shared" ref="E7:E41" si="2">B7-D7</f>
        <v>6.5358203620649249</v>
      </c>
      <c r="F7">
        <f t="shared" ref="F7:F41" si="3">E7^2</f>
        <v>42.716947805182485</v>
      </c>
    </row>
    <row r="8" spans="1:6">
      <c r="A8" s="14">
        <v>3</v>
      </c>
      <c r="B8" s="14">
        <v>147</v>
      </c>
      <c r="C8" s="19">
        <f t="shared" si="0"/>
        <v>152.96073018414819</v>
      </c>
      <c r="D8" s="19">
        <f t="shared" si="1"/>
        <v>169.24898718360353</v>
      </c>
      <c r="E8" s="19">
        <f t="shared" si="2"/>
        <v>-22.248987183603532</v>
      </c>
      <c r="F8">
        <f t="shared" si="3"/>
        <v>495.01743069615424</v>
      </c>
    </row>
    <row r="9" spans="1:6">
      <c r="A9" s="14">
        <v>4</v>
      </c>
      <c r="B9" s="14">
        <v>143</v>
      </c>
      <c r="C9" s="19">
        <f t="shared" si="0"/>
        <v>145.66858102685066</v>
      </c>
      <c r="D9" s="19">
        <f t="shared" si="1"/>
        <v>152.96073018414819</v>
      </c>
      <c r="E9" s="19">
        <f t="shared" si="2"/>
        <v>-9.9607301841481899</v>
      </c>
      <c r="F9">
        <f t="shared" si="3"/>
        <v>99.216145801400828</v>
      </c>
    </row>
    <row r="10" spans="1:6">
      <c r="A10" s="14">
        <v>5</v>
      </c>
      <c r="B10" s="14">
        <v>164</v>
      </c>
      <c r="C10" s="19">
        <f t="shared" si="0"/>
        <v>159.08882622432162</v>
      </c>
      <c r="D10" s="19">
        <f t="shared" si="1"/>
        <v>145.66858102685066</v>
      </c>
      <c r="E10" s="19">
        <f t="shared" si="2"/>
        <v>18.33141897314934</v>
      </c>
      <c r="F10">
        <f t="shared" si="3"/>
        <v>336.04092156913958</v>
      </c>
    </row>
    <row r="11" spans="1:6">
      <c r="A11" s="14">
        <v>6</v>
      </c>
      <c r="B11" s="14">
        <v>160</v>
      </c>
      <c r="C11" s="19">
        <f t="shared" si="0"/>
        <v>159.75588726880596</v>
      </c>
      <c r="D11" s="19">
        <f t="shared" si="1"/>
        <v>159.08882622432162</v>
      </c>
      <c r="E11" s="19">
        <f t="shared" si="2"/>
        <v>0.91117377567837821</v>
      </c>
      <c r="F11">
        <f t="shared" si="3"/>
        <v>0.83023764948399148</v>
      </c>
    </row>
    <row r="12" spans="1:6">
      <c r="A12" s="14">
        <v>7</v>
      </c>
      <c r="B12" s="14">
        <v>152</v>
      </c>
      <c r="C12" s="19">
        <f t="shared" si="0"/>
        <v>154.07788116225319</v>
      </c>
      <c r="D12" s="19">
        <f t="shared" si="1"/>
        <v>159.75588726880596</v>
      </c>
      <c r="E12" s="19">
        <f t="shared" si="2"/>
        <v>-7.7558872688059637</v>
      </c>
      <c r="F12">
        <f t="shared" si="3"/>
        <v>60.153787326426432</v>
      </c>
    </row>
    <row r="13" spans="1:6">
      <c r="A13" s="14">
        <v>8</v>
      </c>
      <c r="B13" s="14">
        <v>150</v>
      </c>
      <c r="C13" s="19">
        <f t="shared" si="0"/>
        <v>151.09250588040811</v>
      </c>
      <c r="D13" s="19">
        <f t="shared" si="1"/>
        <v>154.07788116225319</v>
      </c>
      <c r="E13" s="19">
        <f t="shared" si="2"/>
        <v>-4.0778811622531919</v>
      </c>
      <c r="F13">
        <f t="shared" si="3"/>
        <v>16.629114773459442</v>
      </c>
    </row>
    <row r="14" spans="1:6">
      <c r="A14" s="14">
        <v>9</v>
      </c>
      <c r="B14" s="14">
        <v>159</v>
      </c>
      <c r="C14" s="19">
        <f t="shared" si="0"/>
        <v>156.881501818907</v>
      </c>
      <c r="D14" s="19">
        <f t="shared" si="1"/>
        <v>151.09250588040811</v>
      </c>
      <c r="E14" s="19">
        <f t="shared" si="2"/>
        <v>7.9074941195918882</v>
      </c>
      <c r="F14">
        <f t="shared" si="3"/>
        <v>62.528463251380288</v>
      </c>
    </row>
    <row r="15" spans="1:6">
      <c r="A15" s="14">
        <v>10</v>
      </c>
      <c r="B15" s="14">
        <v>169</v>
      </c>
      <c r="C15" s="19">
        <f t="shared" si="0"/>
        <v>165.75333095846179</v>
      </c>
      <c r="D15" s="19">
        <f t="shared" si="1"/>
        <v>156.881501818907</v>
      </c>
      <c r="E15" s="19">
        <f t="shared" si="2"/>
        <v>12.118498181093003</v>
      </c>
      <c r="F15">
        <f t="shared" si="3"/>
        <v>146.85799816515441</v>
      </c>
    </row>
    <row r="16" spans="1:6">
      <c r="A16" s="14">
        <v>11</v>
      </c>
      <c r="B16" s="14">
        <v>173</v>
      </c>
      <c r="C16" s="19">
        <f t="shared" si="0"/>
        <v>171.05854358519915</v>
      </c>
      <c r="D16" s="19">
        <f t="shared" si="1"/>
        <v>165.75333095846179</v>
      </c>
      <c r="E16" s="19">
        <f t="shared" si="2"/>
        <v>7.2466690415382118</v>
      </c>
      <c r="F16">
        <f t="shared" si="3"/>
        <v>52.514212197588343</v>
      </c>
    </row>
    <row r="17" spans="1:8">
      <c r="A17" s="14">
        <v>12</v>
      </c>
      <c r="B17" s="14">
        <v>203</v>
      </c>
      <c r="C17" s="19">
        <f t="shared" si="0"/>
        <v>194.44255862947017</v>
      </c>
      <c r="D17" s="19">
        <f t="shared" si="1"/>
        <v>171.05854358519915</v>
      </c>
      <c r="E17" s="19">
        <f t="shared" si="2"/>
        <v>31.941456414800854</v>
      </c>
      <c r="F17">
        <f t="shared" si="3"/>
        <v>1020.2566378986226</v>
      </c>
    </row>
    <row r="18" spans="1:8">
      <c r="A18" s="14">
        <v>13</v>
      </c>
      <c r="B18" s="14">
        <v>169</v>
      </c>
      <c r="C18" s="19">
        <f t="shared" si="0"/>
        <v>175.81632048835041</v>
      </c>
      <c r="D18" s="19">
        <f t="shared" si="1"/>
        <v>194.44255862947017</v>
      </c>
      <c r="E18" s="19">
        <f t="shared" si="2"/>
        <v>-25.44255862947017</v>
      </c>
      <c r="F18">
        <f t="shared" si="3"/>
        <v>647.32378961402708</v>
      </c>
    </row>
    <row r="19" spans="1:8">
      <c r="A19" s="14">
        <v>14</v>
      </c>
      <c r="B19" s="14">
        <v>166</v>
      </c>
      <c r="C19" s="19">
        <f t="shared" si="0"/>
        <v>168.62989219910665</v>
      </c>
      <c r="D19" s="19">
        <f t="shared" si="1"/>
        <v>175.81632048835041</v>
      </c>
      <c r="E19" s="19">
        <f t="shared" si="2"/>
        <v>-9.8163204883504136</v>
      </c>
      <c r="F19">
        <f t="shared" si="3"/>
        <v>96.360147930008097</v>
      </c>
    </row>
    <row r="20" spans="1:8">
      <c r="A20" s="14">
        <v>15</v>
      </c>
      <c r="B20" s="14">
        <v>162</v>
      </c>
      <c r="C20" s="19">
        <f t="shared" si="0"/>
        <v>163.77621561928837</v>
      </c>
      <c r="D20" s="19">
        <f t="shared" si="1"/>
        <v>168.62989219910665</v>
      </c>
      <c r="E20" s="19">
        <f t="shared" si="2"/>
        <v>-6.6298921991066493</v>
      </c>
      <c r="F20">
        <f t="shared" si="3"/>
        <v>43.955470571775201</v>
      </c>
    </row>
    <row r="21" spans="1:8">
      <c r="A21" s="14">
        <v>16</v>
      </c>
      <c r="B21" s="14">
        <v>147</v>
      </c>
      <c r="C21" s="19">
        <f t="shared" si="0"/>
        <v>151.49451896360318</v>
      </c>
      <c r="D21" s="19">
        <f t="shared" si="1"/>
        <v>163.77621561928837</v>
      </c>
      <c r="E21" s="19">
        <f t="shared" si="2"/>
        <v>-16.776215619288365</v>
      </c>
      <c r="F21">
        <f t="shared" si="3"/>
        <v>281.4414105048549</v>
      </c>
    </row>
    <row r="22" spans="1:8">
      <c r="A22" s="14">
        <v>17</v>
      </c>
      <c r="B22" s="14">
        <v>188</v>
      </c>
      <c r="C22" s="19">
        <f t="shared" si="0"/>
        <v>178.21980996686176</v>
      </c>
      <c r="D22" s="19">
        <f t="shared" si="1"/>
        <v>151.49451896360318</v>
      </c>
      <c r="E22" s="19">
        <f t="shared" si="2"/>
        <v>36.505481036396816</v>
      </c>
      <c r="F22">
        <f t="shared" si="3"/>
        <v>1332.6501456987276</v>
      </c>
    </row>
    <row r="23" spans="1:8">
      <c r="A23" s="14">
        <v>18</v>
      </c>
      <c r="B23" s="14">
        <v>161</v>
      </c>
      <c r="C23" s="19">
        <f t="shared" si="0"/>
        <v>165.61336240556656</v>
      </c>
      <c r="D23" s="19">
        <f t="shared" si="1"/>
        <v>178.21980996686176</v>
      </c>
      <c r="E23" s="19">
        <f t="shared" si="2"/>
        <v>-17.21980996686176</v>
      </c>
      <c r="F23">
        <f t="shared" si="3"/>
        <v>296.5218552948316</v>
      </c>
    </row>
    <row r="24" spans="1:8">
      <c r="A24" s="14">
        <v>19</v>
      </c>
      <c r="B24" s="14">
        <v>162</v>
      </c>
      <c r="C24" s="19">
        <f t="shared" si="0"/>
        <v>162.96805657621124</v>
      </c>
      <c r="D24" s="19">
        <f t="shared" si="1"/>
        <v>165.61336240556656</v>
      </c>
      <c r="E24" s="19">
        <f t="shared" si="2"/>
        <v>-3.6133624055665621</v>
      </c>
      <c r="F24">
        <f t="shared" si="3"/>
        <v>13.056387873961771</v>
      </c>
    </row>
    <row r="25" spans="1:8">
      <c r="A25" s="14">
        <v>20</v>
      </c>
      <c r="B25" s="14">
        <v>169</v>
      </c>
      <c r="C25" s="19">
        <f t="shared" si="0"/>
        <v>167.38398094535518</v>
      </c>
      <c r="D25" s="19">
        <f t="shared" si="1"/>
        <v>162.96805657621124</v>
      </c>
      <c r="E25" s="19">
        <f t="shared" si="2"/>
        <v>6.0319434237887606</v>
      </c>
      <c r="F25">
        <f t="shared" si="3"/>
        <v>36.384341467788474</v>
      </c>
    </row>
    <row r="26" spans="1:8">
      <c r="A26" s="14">
        <v>21</v>
      </c>
      <c r="B26" s="14">
        <v>185</v>
      </c>
      <c r="C26" s="19">
        <f t="shared" si="0"/>
        <v>180.28048914599879</v>
      </c>
      <c r="D26" s="19">
        <f t="shared" si="1"/>
        <v>167.38398094535518</v>
      </c>
      <c r="E26" s="19">
        <f t="shared" si="2"/>
        <v>17.616019054644823</v>
      </c>
      <c r="F26">
        <f t="shared" si="3"/>
        <v>310.32412733360951</v>
      </c>
    </row>
    <row r="27" spans="1:8">
      <c r="A27" s="14">
        <v>22</v>
      </c>
      <c r="B27" s="14">
        <v>188</v>
      </c>
      <c r="C27" s="19">
        <f t="shared" si="0"/>
        <v>185.93186444962248</v>
      </c>
      <c r="D27" s="19">
        <f t="shared" si="1"/>
        <v>180.28048914599879</v>
      </c>
      <c r="E27" s="19">
        <f t="shared" si="2"/>
        <v>7.7195108540012143</v>
      </c>
      <c r="F27">
        <f t="shared" si="3"/>
        <v>59.590847825042559</v>
      </c>
    </row>
    <row r="28" spans="1:8">
      <c r="A28" s="14">
        <v>23</v>
      </c>
      <c r="B28" s="14">
        <v>200</v>
      </c>
      <c r="C28" s="19">
        <f t="shared" si="0"/>
        <v>196.23100325790912</v>
      </c>
      <c r="D28" s="19">
        <f t="shared" si="1"/>
        <v>185.93186444962248</v>
      </c>
      <c r="E28" s="19">
        <f t="shared" si="2"/>
        <v>14.068135550377519</v>
      </c>
      <c r="F28">
        <f t="shared" si="3"/>
        <v>197.91243786379579</v>
      </c>
      <c r="H28" t="s">
        <v>14</v>
      </c>
    </row>
    <row r="29" spans="1:8">
      <c r="A29" s="14">
        <v>24</v>
      </c>
      <c r="B29" s="14">
        <v>229</v>
      </c>
      <c r="C29" s="19">
        <f t="shared" si="0"/>
        <v>220.22085215057422</v>
      </c>
      <c r="D29" s="19">
        <f t="shared" si="1"/>
        <v>196.23100325790912</v>
      </c>
      <c r="E29" s="19">
        <f t="shared" si="2"/>
        <v>32.768996742090877</v>
      </c>
      <c r="F29">
        <f t="shared" si="3"/>
        <v>1073.8071474831625</v>
      </c>
      <c r="H29" s="20" t="s">
        <v>15</v>
      </c>
    </row>
    <row r="30" spans="1:8">
      <c r="A30" s="14">
        <v>25</v>
      </c>
      <c r="B30" s="14">
        <v>189</v>
      </c>
      <c r="C30" s="19">
        <f t="shared" si="0"/>
        <v>197.3643841516481</v>
      </c>
      <c r="D30" s="19">
        <f t="shared" si="1"/>
        <v>220.22085215057422</v>
      </c>
      <c r="E30" s="19">
        <f t="shared" si="2"/>
        <v>-31.220852150574217</v>
      </c>
      <c r="F30">
        <f t="shared" si="3"/>
        <v>974.74160900801473</v>
      </c>
      <c r="H30" t="s">
        <v>16</v>
      </c>
    </row>
    <row r="31" spans="1:8">
      <c r="A31" s="14">
        <v>26</v>
      </c>
      <c r="B31" s="14">
        <v>218</v>
      </c>
      <c r="C31" s="19">
        <f t="shared" si="0"/>
        <v>212.47150842235166</v>
      </c>
      <c r="D31" s="19">
        <f t="shared" si="1"/>
        <v>197.3643841516481</v>
      </c>
      <c r="E31" s="19">
        <f t="shared" si="2"/>
        <v>20.635615848351904</v>
      </c>
      <c r="F31">
        <f t="shared" si="3"/>
        <v>425.82864144075228</v>
      </c>
      <c r="H31" t="s">
        <v>17</v>
      </c>
    </row>
    <row r="32" spans="1:8">
      <c r="A32" s="14">
        <v>27</v>
      </c>
      <c r="B32" s="14">
        <v>185</v>
      </c>
      <c r="C32" s="19">
        <f t="shared" si="0"/>
        <v>192.35989679466707</v>
      </c>
      <c r="D32" s="19">
        <f t="shared" si="1"/>
        <v>212.47150842235166</v>
      </c>
      <c r="E32" s="19">
        <f t="shared" si="2"/>
        <v>-27.471508422351661</v>
      </c>
      <c r="F32">
        <f t="shared" si="3"/>
        <v>754.68377499933831</v>
      </c>
      <c r="H32" t="s">
        <v>18</v>
      </c>
    </row>
    <row r="33" spans="1:8">
      <c r="A33" s="14">
        <v>28</v>
      </c>
      <c r="B33" s="14">
        <v>199</v>
      </c>
      <c r="C33" s="19">
        <f t="shared" si="0"/>
        <v>197.22104874818501</v>
      </c>
      <c r="D33" s="19">
        <f t="shared" si="1"/>
        <v>192.35989679466707</v>
      </c>
      <c r="E33" s="19">
        <f t="shared" si="2"/>
        <v>6.6401032053329345</v>
      </c>
      <c r="F33">
        <f t="shared" si="3"/>
        <v>44.09097057747271</v>
      </c>
      <c r="H33" t="s">
        <v>19</v>
      </c>
    </row>
    <row r="34" spans="1:8">
      <c r="A34" s="14">
        <v>29</v>
      </c>
      <c r="B34" s="14">
        <v>210</v>
      </c>
      <c r="C34" s="19">
        <f t="shared" si="0"/>
        <v>206.57638885672122</v>
      </c>
      <c r="D34" s="19">
        <f t="shared" si="1"/>
        <v>197.22104874818501</v>
      </c>
      <c r="E34" s="19">
        <f t="shared" si="2"/>
        <v>12.778951251814988</v>
      </c>
      <c r="F34">
        <f t="shared" si="3"/>
        <v>163.30159509626384</v>
      </c>
      <c r="H34" t="s">
        <v>20</v>
      </c>
    </row>
    <row r="35" spans="1:8">
      <c r="A35" s="14">
        <v>30</v>
      </c>
      <c r="B35" s="14">
        <v>193</v>
      </c>
      <c r="C35" s="19">
        <f t="shared" si="0"/>
        <v>196.63725279637131</v>
      </c>
      <c r="D35" s="19">
        <f t="shared" si="1"/>
        <v>206.57638885672122</v>
      </c>
      <c r="E35" s="19">
        <f t="shared" si="2"/>
        <v>-13.576388856721223</v>
      </c>
      <c r="F35">
        <f t="shared" si="3"/>
        <v>184.31833438890422</v>
      </c>
      <c r="H35" t="s">
        <v>21</v>
      </c>
    </row>
    <row r="36" spans="1:8">
      <c r="A36" s="14">
        <v>31</v>
      </c>
      <c r="B36" s="14">
        <v>211</v>
      </c>
      <c r="C36" s="19">
        <f t="shared" si="0"/>
        <v>207.15207379655234</v>
      </c>
      <c r="D36" s="19">
        <f t="shared" si="1"/>
        <v>196.63725279637131</v>
      </c>
      <c r="E36" s="19">
        <f t="shared" si="2"/>
        <v>14.362747203628686</v>
      </c>
      <c r="F36">
        <f t="shared" si="3"/>
        <v>206.28850723534364</v>
      </c>
      <c r="H36" t="s">
        <v>22</v>
      </c>
    </row>
    <row r="37" spans="1:8">
      <c r="A37" s="14">
        <v>32</v>
      </c>
      <c r="B37" s="14">
        <v>208</v>
      </c>
      <c r="C37" s="19">
        <f t="shared" si="0"/>
        <v>207.77283193733217</v>
      </c>
      <c r="D37" s="19">
        <f t="shared" si="1"/>
        <v>207.15207379655234</v>
      </c>
      <c r="E37" s="19">
        <f t="shared" si="2"/>
        <v>0.84792620344765623</v>
      </c>
      <c r="F37">
        <f t="shared" si="3"/>
        <v>0.71897884649315613</v>
      </c>
    </row>
    <row r="38" spans="1:8">
      <c r="A38" s="14">
        <v>33</v>
      </c>
      <c r="B38" s="14">
        <v>216</v>
      </c>
      <c r="C38" s="19">
        <f t="shared" si="0"/>
        <v>213.79585791494617</v>
      </c>
      <c r="D38" s="19">
        <f t="shared" si="1"/>
        <v>207.77283193733217</v>
      </c>
      <c r="E38" s="19">
        <f t="shared" si="2"/>
        <v>8.227168062667829</v>
      </c>
      <c r="F38">
        <f t="shared" si="3"/>
        <v>67.686294331381518</v>
      </c>
    </row>
    <row r="39" spans="1:8">
      <c r="A39" s="14">
        <v>34</v>
      </c>
      <c r="B39" s="14">
        <v>218</v>
      </c>
      <c r="C39" s="19">
        <f t="shared" si="0"/>
        <v>216.87366753290704</v>
      </c>
      <c r="D39" s="19">
        <f t="shared" si="1"/>
        <v>213.79585791494617</v>
      </c>
      <c r="E39" s="19">
        <f t="shared" si="2"/>
        <v>4.2041420850538316</v>
      </c>
      <c r="F39">
        <f t="shared" si="3"/>
        <v>17.674810671320778</v>
      </c>
    </row>
    <row r="40" spans="1:8">
      <c r="A40" s="14">
        <v>35</v>
      </c>
      <c r="B40" s="14">
        <v>264</v>
      </c>
      <c r="C40" s="19">
        <f t="shared" si="0"/>
        <v>251.37437573734508</v>
      </c>
      <c r="D40" s="19">
        <f t="shared" si="1"/>
        <v>216.87366753290704</v>
      </c>
      <c r="E40" s="19">
        <f t="shared" si="2"/>
        <v>47.126332467092965</v>
      </c>
      <c r="F40">
        <f t="shared" si="3"/>
        <v>2220.8912117989803</v>
      </c>
    </row>
    <row r="41" spans="1:8">
      <c r="A41" s="14">
        <v>36</v>
      </c>
      <c r="B41" s="14">
        <v>304</v>
      </c>
      <c r="C41" s="19">
        <f t="shared" si="0"/>
        <v>289.90105947684572</v>
      </c>
      <c r="D41" s="19">
        <f t="shared" si="1"/>
        <v>251.37437573734508</v>
      </c>
      <c r="E41" s="19">
        <f t="shared" si="2"/>
        <v>52.625624262654924</v>
      </c>
      <c r="F41">
        <f t="shared" si="3"/>
        <v>2769.4563290341348</v>
      </c>
    </row>
    <row r="42" spans="1:8">
      <c r="A42" s="14">
        <v>37</v>
      </c>
      <c r="B42" s="19">
        <f>C$41</f>
        <v>289.90105947684572</v>
      </c>
      <c r="C42" s="19"/>
      <c r="D42" s="19"/>
      <c r="E42" s="19"/>
    </row>
    <row r="43" spans="1:8">
      <c r="A43" s="14">
        <v>38</v>
      </c>
      <c r="B43" s="19">
        <f t="shared" ref="B43:B53" si="4">C$41</f>
        <v>289.90105947684572</v>
      </c>
      <c r="C43" s="19"/>
      <c r="D43" s="19"/>
      <c r="E43" s="19"/>
    </row>
    <row r="44" spans="1:8">
      <c r="A44" s="14">
        <v>39</v>
      </c>
      <c r="B44" s="19">
        <f t="shared" si="4"/>
        <v>289.90105947684572</v>
      </c>
      <c r="C44" s="19"/>
      <c r="D44" s="19"/>
      <c r="E44" s="19"/>
    </row>
    <row r="45" spans="1:8">
      <c r="A45" s="14">
        <v>40</v>
      </c>
      <c r="B45" s="19">
        <f t="shared" si="4"/>
        <v>289.90105947684572</v>
      </c>
      <c r="C45" s="19"/>
      <c r="D45" s="19"/>
      <c r="E45" s="19"/>
    </row>
    <row r="46" spans="1:8">
      <c r="A46" s="14">
        <v>41</v>
      </c>
      <c r="B46" s="19">
        <f t="shared" si="4"/>
        <v>289.90105947684572</v>
      </c>
      <c r="C46" s="19"/>
      <c r="D46" s="19"/>
      <c r="E46" s="19"/>
    </row>
    <row r="47" spans="1:8">
      <c r="A47" s="14">
        <v>42</v>
      </c>
      <c r="B47" s="19">
        <f t="shared" si="4"/>
        <v>289.90105947684572</v>
      </c>
      <c r="C47" s="19"/>
      <c r="D47" s="19"/>
      <c r="E47" s="19"/>
    </row>
    <row r="48" spans="1:8">
      <c r="A48" s="14">
        <v>43</v>
      </c>
      <c r="B48" s="19">
        <f t="shared" si="4"/>
        <v>289.90105947684572</v>
      </c>
      <c r="C48" s="19"/>
      <c r="D48" s="19"/>
      <c r="E48" s="19"/>
    </row>
    <row r="49" spans="1:5">
      <c r="A49" s="14">
        <v>44</v>
      </c>
      <c r="B49" s="19">
        <f t="shared" si="4"/>
        <v>289.90105947684572</v>
      </c>
      <c r="C49" s="19"/>
      <c r="D49" s="19"/>
      <c r="E49" s="19"/>
    </row>
    <row r="50" spans="1:5">
      <c r="A50" s="14">
        <v>45</v>
      </c>
      <c r="B50" s="19">
        <f t="shared" si="4"/>
        <v>289.90105947684572</v>
      </c>
      <c r="C50" s="19"/>
      <c r="D50" s="19"/>
      <c r="E50" s="19"/>
    </row>
    <row r="51" spans="1:5">
      <c r="A51" s="14">
        <v>46</v>
      </c>
      <c r="B51" s="19">
        <f t="shared" si="4"/>
        <v>289.90105947684572</v>
      </c>
      <c r="C51" s="19"/>
      <c r="D51" s="19"/>
      <c r="E51" s="19"/>
    </row>
    <row r="52" spans="1:5">
      <c r="A52" s="14">
        <v>47</v>
      </c>
      <c r="B52" s="19">
        <f t="shared" si="4"/>
        <v>289.90105947684572</v>
      </c>
      <c r="C52" s="19"/>
      <c r="D52" s="19"/>
      <c r="E52" s="19"/>
    </row>
    <row r="53" spans="1:5">
      <c r="A53" s="14">
        <v>48</v>
      </c>
      <c r="B53" s="19">
        <f t="shared" si="4"/>
        <v>289.90105947684572</v>
      </c>
      <c r="C53" s="19"/>
      <c r="D53" s="19"/>
      <c r="E53" s="19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3"/>
  <sheetViews>
    <sheetView topLeftCell="A6" workbookViewId="0">
      <selection activeCell="F6" sqref="F6:F41"/>
    </sheetView>
  </sheetViews>
  <sheetFormatPr baseColWidth="10" defaultRowHeight="15" x14ac:dyDescent="0"/>
  <cols>
    <col min="1" max="1" width="12.1640625" bestFit="1" customWidth="1"/>
    <col min="3" max="3" width="13.1640625" bestFit="1" customWidth="1"/>
    <col min="4" max="4" width="13.83203125" bestFit="1" customWidth="1"/>
  </cols>
  <sheetData>
    <row r="1" spans="1:9">
      <c r="A1" t="s">
        <v>2</v>
      </c>
      <c r="C1" t="s">
        <v>24</v>
      </c>
      <c r="D1" t="s">
        <v>25</v>
      </c>
      <c r="F1" t="s">
        <v>6</v>
      </c>
      <c r="G1" t="s">
        <v>7</v>
      </c>
    </row>
    <row r="2" spans="1:9">
      <c r="A2">
        <v>36</v>
      </c>
      <c r="C2">
        <v>0.65909975628975725</v>
      </c>
      <c r="D2">
        <v>5.3117219484681594E-2</v>
      </c>
      <c r="F2">
        <f>SUM(G6:G41)</f>
        <v>14097.280825538186</v>
      </c>
      <c r="G2">
        <f>SQRT(F2/(36-2))</f>
        <v>20.362364956789182</v>
      </c>
    </row>
    <row r="4" spans="1:9" ht="29" customHeight="1">
      <c r="A4" s="13" t="s">
        <v>1</v>
      </c>
      <c r="B4" s="21" t="s">
        <v>26</v>
      </c>
      <c r="C4" s="15" t="s">
        <v>3</v>
      </c>
      <c r="D4" s="15" t="s">
        <v>23</v>
      </c>
      <c r="E4" s="15" t="s">
        <v>27</v>
      </c>
      <c r="F4" s="15" t="s">
        <v>4</v>
      </c>
      <c r="G4" s="15" t="s">
        <v>5</v>
      </c>
    </row>
    <row r="5" spans="1:9">
      <c r="A5" s="16">
        <v>0</v>
      </c>
      <c r="B5" s="17"/>
      <c r="C5" s="18">
        <v>155.88</v>
      </c>
      <c r="D5" s="18">
        <v>0.83689999999999998</v>
      </c>
      <c r="E5" s="18"/>
      <c r="F5" s="18"/>
      <c r="G5" s="18"/>
      <c r="H5" s="18"/>
      <c r="I5" s="18"/>
    </row>
    <row r="6" spans="1:9">
      <c r="A6" s="14">
        <v>1</v>
      </c>
      <c r="B6" s="14">
        <v>165</v>
      </c>
      <c r="C6">
        <f>C5+D5+C$2*F6</f>
        <v>162.17628919132369</v>
      </c>
      <c r="D6">
        <f>D5+D$2*C$2*F6</f>
        <v>1.1268875739278383</v>
      </c>
      <c r="E6">
        <f>C5+D5</f>
        <v>156.71690000000001</v>
      </c>
      <c r="F6">
        <f>B6-E6</f>
        <v>8.2830999999999904</v>
      </c>
      <c r="G6">
        <f>F6^2</f>
        <v>68.609745609999834</v>
      </c>
    </row>
    <row r="7" spans="1:9">
      <c r="A7" s="14">
        <v>2</v>
      </c>
      <c r="B7" s="14">
        <v>171</v>
      </c>
      <c r="C7">
        <f t="shared" ref="C7:C41" si="0">C6+D6+C$2*F7</f>
        <v>168.37615108347958</v>
      </c>
      <c r="D7">
        <f t="shared" ref="D7:D41" si="1">D6+D$2*C$2*F7</f>
        <v>1.3963498642293113</v>
      </c>
      <c r="E7">
        <f t="shared" ref="E7:E41" si="2">C6+D6</f>
        <v>163.30317676525152</v>
      </c>
      <c r="F7">
        <f t="shared" ref="F7:F41" si="3">B7-E7</f>
        <v>7.6968232347484786</v>
      </c>
      <c r="G7">
        <f t="shared" ref="G7:G41" si="4">F7^2</f>
        <v>59.241087906964033</v>
      </c>
    </row>
    <row r="8" spans="1:9">
      <c r="A8" s="14">
        <v>3</v>
      </c>
      <c r="B8" s="14">
        <v>147</v>
      </c>
      <c r="C8">
        <f t="shared" si="0"/>
        <v>154.7631511229657</v>
      </c>
      <c r="D8">
        <f t="shared" si="1"/>
        <v>0.59909493526605972</v>
      </c>
      <c r="E8">
        <f t="shared" si="2"/>
        <v>169.77250094770889</v>
      </c>
      <c r="F8">
        <f t="shared" si="3"/>
        <v>-22.772500947708892</v>
      </c>
      <c r="G8">
        <f t="shared" si="4"/>
        <v>518.58679941340233</v>
      </c>
    </row>
    <row r="9" spans="1:9">
      <c r="A9" s="14">
        <v>4</v>
      </c>
      <c r="B9" s="14">
        <v>143</v>
      </c>
      <c r="C9">
        <f t="shared" si="0"/>
        <v>147.21429269405721</v>
      </c>
      <c r="D9">
        <f t="shared" si="1"/>
        <v>0.16629830807024953</v>
      </c>
      <c r="E9">
        <f t="shared" si="2"/>
        <v>155.36224605823176</v>
      </c>
      <c r="F9">
        <f t="shared" si="3"/>
        <v>-12.362246058231761</v>
      </c>
      <c r="G9">
        <f t="shared" si="4"/>
        <v>152.82512760426673</v>
      </c>
    </row>
    <row r="10" spans="1:9">
      <c r="A10" s="14">
        <v>5</v>
      </c>
      <c r="B10" s="14">
        <v>164</v>
      </c>
      <c r="C10">
        <f t="shared" si="0"/>
        <v>158.33443942230505</v>
      </c>
      <c r="D10">
        <f t="shared" si="1"/>
        <v>0.74813627880675537</v>
      </c>
      <c r="E10">
        <f t="shared" si="2"/>
        <v>147.38059100212746</v>
      </c>
      <c r="F10">
        <f t="shared" si="3"/>
        <v>16.61940899787254</v>
      </c>
      <c r="G10">
        <f t="shared" si="4"/>
        <v>276.20475543856674</v>
      </c>
    </row>
    <row r="11" spans="1:9">
      <c r="A11" s="14">
        <v>6</v>
      </c>
      <c r="B11" s="14">
        <v>160</v>
      </c>
      <c r="C11">
        <f t="shared" si="0"/>
        <v>159.68724983292333</v>
      </c>
      <c r="D11">
        <f t="shared" si="1"/>
        <v>0.78025488738289661</v>
      </c>
      <c r="E11">
        <f t="shared" si="2"/>
        <v>159.08257570111181</v>
      </c>
      <c r="F11">
        <f t="shared" si="3"/>
        <v>0.91742429888819288</v>
      </c>
      <c r="G11">
        <f t="shared" si="4"/>
        <v>0.84166734419049227</v>
      </c>
    </row>
    <row r="12" spans="1:9">
      <c r="A12" s="14">
        <v>7</v>
      </c>
      <c r="B12" s="14">
        <v>152</v>
      </c>
      <c r="C12">
        <f t="shared" si="0"/>
        <v>154.88657442277002</v>
      </c>
      <c r="D12">
        <f t="shared" si="1"/>
        <v>0.48381138783995636</v>
      </c>
      <c r="E12">
        <f t="shared" si="2"/>
        <v>160.46750472030624</v>
      </c>
      <c r="F12">
        <f t="shared" si="3"/>
        <v>-8.4675047203062377</v>
      </c>
      <c r="G12">
        <f t="shared" si="4"/>
        <v>71.698636188408415</v>
      </c>
    </row>
    <row r="13" spans="1:9">
      <c r="A13" s="14">
        <v>8</v>
      </c>
      <c r="B13" s="14">
        <v>150</v>
      </c>
      <c r="C13">
        <f t="shared" si="0"/>
        <v>151.83076583165496</v>
      </c>
      <c r="D13">
        <f t="shared" si="1"/>
        <v>0.29579661652543932</v>
      </c>
      <c r="E13">
        <f t="shared" si="2"/>
        <v>155.37038581060997</v>
      </c>
      <c r="F13">
        <f t="shared" si="3"/>
        <v>-5.3703858106099744</v>
      </c>
      <c r="G13">
        <f t="shared" si="4"/>
        <v>28.841043754800953</v>
      </c>
    </row>
    <row r="14" spans="1:9">
      <c r="A14" s="14">
        <v>9</v>
      </c>
      <c r="B14" s="14">
        <v>159</v>
      </c>
      <c r="C14">
        <f t="shared" si="0"/>
        <v>156.65684346345756</v>
      </c>
      <c r="D14">
        <f t="shared" si="1"/>
        <v>0.53643254754120229</v>
      </c>
      <c r="E14">
        <f t="shared" si="2"/>
        <v>152.12656244818041</v>
      </c>
      <c r="F14">
        <f t="shared" si="3"/>
        <v>6.8734375518195918</v>
      </c>
      <c r="G14">
        <f t="shared" si="4"/>
        <v>47.244143778763707</v>
      </c>
    </row>
    <row r="15" spans="1:9">
      <c r="A15" s="14">
        <v>10</v>
      </c>
      <c r="B15" s="14">
        <v>169</v>
      </c>
      <c r="C15">
        <f t="shared" si="0"/>
        <v>164.9750849147299</v>
      </c>
      <c r="D15">
        <f t="shared" si="1"/>
        <v>0.94978059906853862</v>
      </c>
      <c r="E15">
        <f t="shared" si="2"/>
        <v>157.19327601099877</v>
      </c>
      <c r="F15">
        <f t="shared" si="3"/>
        <v>11.806723989001227</v>
      </c>
      <c r="G15">
        <f t="shared" si="4"/>
        <v>139.39873135245705</v>
      </c>
    </row>
    <row r="16" spans="1:9">
      <c r="A16" s="14">
        <v>11</v>
      </c>
      <c r="B16" s="14">
        <v>173</v>
      </c>
      <c r="C16">
        <f t="shared" si="0"/>
        <v>170.58808492937115</v>
      </c>
      <c r="D16">
        <f t="shared" si="1"/>
        <v>1.1974778482707427</v>
      </c>
      <c r="E16">
        <f t="shared" si="2"/>
        <v>165.92486551379844</v>
      </c>
      <c r="F16">
        <f t="shared" si="3"/>
        <v>7.0751344862015628</v>
      </c>
      <c r="G16">
        <f t="shared" si="4"/>
        <v>50.057527997838655</v>
      </c>
    </row>
    <row r="17" spans="1:7">
      <c r="A17" s="14">
        <v>12</v>
      </c>
      <c r="B17" s="14">
        <v>203</v>
      </c>
      <c r="C17">
        <f t="shared" si="0"/>
        <v>192.35899074362004</v>
      </c>
      <c r="D17">
        <f t="shared" si="1"/>
        <v>2.2902811370918905</v>
      </c>
      <c r="E17">
        <f t="shared" si="2"/>
        <v>171.7855627776419</v>
      </c>
      <c r="F17">
        <f t="shared" si="3"/>
        <v>31.2144372223581</v>
      </c>
      <c r="G17">
        <f t="shared" si="4"/>
        <v>974.3410911085349</v>
      </c>
    </row>
    <row r="18" spans="1:7">
      <c r="A18" s="14">
        <v>13</v>
      </c>
      <c r="B18" s="14">
        <v>169</v>
      </c>
      <c r="C18">
        <f t="shared" si="0"/>
        <v>177.74384303512497</v>
      </c>
      <c r="D18">
        <f t="shared" si="1"/>
        <v>1.3923117626181809</v>
      </c>
      <c r="E18">
        <f t="shared" si="2"/>
        <v>194.64927188071192</v>
      </c>
      <c r="F18">
        <f t="shared" si="3"/>
        <v>-25.649271880711922</v>
      </c>
      <c r="G18">
        <f t="shared" si="4"/>
        <v>657.88514801067925</v>
      </c>
    </row>
    <row r="19" spans="1:7">
      <c r="A19" s="14">
        <v>14</v>
      </c>
      <c r="B19" s="14">
        <v>166</v>
      </c>
      <c r="C19">
        <f t="shared" si="0"/>
        <v>170.4781183719661</v>
      </c>
      <c r="D19">
        <f t="shared" si="1"/>
        <v>0.9324209414838136</v>
      </c>
      <c r="E19">
        <f t="shared" si="2"/>
        <v>179.13615479774316</v>
      </c>
      <c r="F19">
        <f t="shared" si="3"/>
        <v>-13.13615479774316</v>
      </c>
      <c r="G19">
        <f t="shared" si="4"/>
        <v>172.55856287027063</v>
      </c>
    </row>
    <row r="20" spans="1:7">
      <c r="A20" s="14">
        <v>15</v>
      </c>
      <c r="B20" s="14">
        <v>162</v>
      </c>
      <c r="C20">
        <f t="shared" si="0"/>
        <v>165.2080551453999</v>
      </c>
      <c r="D20">
        <f t="shared" si="1"/>
        <v>0.60296222857923754</v>
      </c>
      <c r="E20">
        <f t="shared" si="2"/>
        <v>171.41053931344993</v>
      </c>
      <c r="F20">
        <f t="shared" si="3"/>
        <v>-9.4105393134499309</v>
      </c>
      <c r="G20">
        <f t="shared" si="4"/>
        <v>88.558250169986692</v>
      </c>
    </row>
    <row r="21" spans="1:7">
      <c r="A21" s="14">
        <v>16</v>
      </c>
      <c r="B21" s="14">
        <v>147</v>
      </c>
      <c r="C21">
        <f t="shared" si="0"/>
        <v>153.4126804072271</v>
      </c>
      <c r="D21">
        <f t="shared" si="1"/>
        <v>-5.5602957328771518E-2</v>
      </c>
      <c r="E21">
        <f t="shared" si="2"/>
        <v>165.81101737397913</v>
      </c>
      <c r="F21">
        <f t="shared" si="3"/>
        <v>-18.811017373979126</v>
      </c>
      <c r="G21">
        <f t="shared" si="4"/>
        <v>353.85437464414457</v>
      </c>
    </row>
    <row r="22" spans="1:7">
      <c r="A22" s="14">
        <v>17</v>
      </c>
      <c r="B22" s="14">
        <v>188</v>
      </c>
      <c r="C22">
        <f t="shared" si="0"/>
        <v>176.19021925983526</v>
      </c>
      <c r="D22">
        <f t="shared" si="1"/>
        <v>1.1572300477145092</v>
      </c>
      <c r="E22">
        <f t="shared" si="2"/>
        <v>153.35707744989833</v>
      </c>
      <c r="F22">
        <f t="shared" si="3"/>
        <v>34.642922550101673</v>
      </c>
      <c r="G22">
        <f t="shared" si="4"/>
        <v>1200.132082812343</v>
      </c>
    </row>
    <row r="23" spans="1:7">
      <c r="A23" s="14">
        <v>18</v>
      </c>
      <c r="B23" s="14">
        <v>161</v>
      </c>
      <c r="C23">
        <f t="shared" si="0"/>
        <v>166.57284945298454</v>
      </c>
      <c r="D23">
        <f t="shared" si="1"/>
        <v>0.58491326237995045</v>
      </c>
      <c r="E23">
        <f t="shared" si="2"/>
        <v>177.34744930754977</v>
      </c>
      <c r="F23">
        <f t="shared" si="3"/>
        <v>-16.347449307549766</v>
      </c>
      <c r="G23">
        <f t="shared" si="4"/>
        <v>267.23909886290932</v>
      </c>
    </row>
    <row r="24" spans="1:7">
      <c r="A24" s="14">
        <v>19</v>
      </c>
      <c r="B24" s="14">
        <v>162</v>
      </c>
      <c r="C24">
        <f t="shared" si="0"/>
        <v>163.75828256666736</v>
      </c>
      <c r="D24">
        <f t="shared" si="1"/>
        <v>0.40434232918778656</v>
      </c>
      <c r="E24">
        <f t="shared" si="2"/>
        <v>167.1577627153645</v>
      </c>
      <c r="F24">
        <f t="shared" si="3"/>
        <v>-5.1577627153644983</v>
      </c>
      <c r="G24">
        <f t="shared" si="4"/>
        <v>26.602516228004163</v>
      </c>
    </row>
    <row r="25" spans="1:7">
      <c r="A25" s="14">
        <v>20</v>
      </c>
      <c r="B25" s="14">
        <v>169</v>
      </c>
      <c r="C25">
        <f t="shared" si="0"/>
        <v>167.35093764807917</v>
      </c>
      <c r="D25">
        <f t="shared" si="1"/>
        <v>0.57369663743347865</v>
      </c>
      <c r="E25">
        <f t="shared" si="2"/>
        <v>164.16262489585515</v>
      </c>
      <c r="F25">
        <f t="shared" si="3"/>
        <v>4.8373751041448543</v>
      </c>
      <c r="G25">
        <f t="shared" si="4"/>
        <v>23.400197898200439</v>
      </c>
    </row>
    <row r="26" spans="1:7">
      <c r="A26" s="14">
        <v>21</v>
      </c>
      <c r="B26" s="14">
        <v>185</v>
      </c>
      <c r="C26">
        <f t="shared" si="0"/>
        <v>179.17900366648973</v>
      </c>
      <c r="D26">
        <f t="shared" si="1"/>
        <v>1.1714974460045191</v>
      </c>
      <c r="E26">
        <f t="shared" si="2"/>
        <v>167.92463428551264</v>
      </c>
      <c r="F26">
        <f t="shared" si="3"/>
        <v>17.075365714487361</v>
      </c>
      <c r="G26">
        <f t="shared" si="4"/>
        <v>291.5681142834905</v>
      </c>
    </row>
    <row r="27" spans="1:7">
      <c r="A27" s="14">
        <v>22</v>
      </c>
      <c r="B27" s="14">
        <v>188</v>
      </c>
      <c r="C27">
        <f t="shared" si="0"/>
        <v>185.39228396498805</v>
      </c>
      <c r="D27">
        <f t="shared" si="1"/>
        <v>1.439302932374537</v>
      </c>
      <c r="E27">
        <f t="shared" si="2"/>
        <v>180.35050111249424</v>
      </c>
      <c r="F27">
        <f t="shared" si="3"/>
        <v>7.6494988875057572</v>
      </c>
      <c r="G27">
        <f t="shared" si="4"/>
        <v>58.514833229951819</v>
      </c>
    </row>
    <row r="28" spans="1:7">
      <c r="A28" s="14">
        <v>23</v>
      </c>
      <c r="B28" s="14">
        <v>200</v>
      </c>
      <c r="C28">
        <f t="shared" si="0"/>
        <v>195.51088476403376</v>
      </c>
      <c r="D28">
        <f t="shared" si="1"/>
        <v>1.9003231021314377</v>
      </c>
      <c r="E28">
        <f t="shared" si="2"/>
        <v>186.8315868973626</v>
      </c>
      <c r="F28">
        <f t="shared" si="3"/>
        <v>13.168413102637402</v>
      </c>
      <c r="G28">
        <f t="shared" si="4"/>
        <v>173.40710364171241</v>
      </c>
    </row>
    <row r="29" spans="1:7">
      <c r="A29" s="14">
        <v>24</v>
      </c>
      <c r="B29" s="14">
        <v>229</v>
      </c>
      <c r="C29">
        <f t="shared" si="0"/>
        <v>218.23137306306353</v>
      </c>
      <c r="D29">
        <f t="shared" si="1"/>
        <v>3.0062323866024148</v>
      </c>
      <c r="E29">
        <f t="shared" si="2"/>
        <v>197.4112078661652</v>
      </c>
      <c r="F29">
        <f t="shared" si="3"/>
        <v>31.588792133834801</v>
      </c>
      <c r="G29">
        <f t="shared" si="4"/>
        <v>997.85178847462339</v>
      </c>
    </row>
    <row r="30" spans="1:7">
      <c r="A30" s="14">
        <v>25</v>
      </c>
      <c r="B30" s="14">
        <v>189</v>
      </c>
      <c r="C30">
        <f t="shared" si="0"/>
        <v>199.98980755442577</v>
      </c>
      <c r="D30">
        <f t="shared" si="1"/>
        <v>1.8776084422347867</v>
      </c>
      <c r="E30">
        <f t="shared" si="2"/>
        <v>221.23760544966595</v>
      </c>
      <c r="F30">
        <f t="shared" si="3"/>
        <v>-32.237605449665949</v>
      </c>
      <c r="G30">
        <f t="shared" si="4"/>
        <v>1039.2632051283317</v>
      </c>
    </row>
    <row r="31" spans="1:7">
      <c r="A31" s="14">
        <v>26</v>
      </c>
      <c r="B31" s="14">
        <v>218</v>
      </c>
      <c r="C31">
        <f t="shared" si="0"/>
        <v>212.50039818158561</v>
      </c>
      <c r="D31">
        <f t="shared" si="1"/>
        <v>2.4424028907281605</v>
      </c>
      <c r="E31">
        <f t="shared" si="2"/>
        <v>201.86741599666055</v>
      </c>
      <c r="F31">
        <f t="shared" si="3"/>
        <v>16.132584003339446</v>
      </c>
      <c r="G31">
        <f t="shared" si="4"/>
        <v>260.26026662480376</v>
      </c>
    </row>
    <row r="32" spans="1:7">
      <c r="A32" s="14">
        <v>27</v>
      </c>
      <c r="B32" s="14">
        <v>185</v>
      </c>
      <c r="C32">
        <f t="shared" si="0"/>
        <v>195.20750818291907</v>
      </c>
      <c r="D32">
        <f t="shared" si="1"/>
        <v>1.3941190067277074</v>
      </c>
      <c r="E32">
        <f t="shared" si="2"/>
        <v>214.94280107231376</v>
      </c>
      <c r="F32">
        <f t="shared" si="3"/>
        <v>-29.942801072313756</v>
      </c>
      <c r="G32">
        <f t="shared" si="4"/>
        <v>896.57133605615377</v>
      </c>
    </row>
    <row r="33" spans="1:7">
      <c r="A33" s="14">
        <v>28</v>
      </c>
      <c r="B33" s="14">
        <v>199</v>
      </c>
      <c r="C33">
        <f t="shared" si="0"/>
        <v>198.18239412444257</v>
      </c>
      <c r="D33">
        <f t="shared" si="1"/>
        <v>1.4780849509573821</v>
      </c>
      <c r="E33">
        <f t="shared" si="2"/>
        <v>196.60162718964679</v>
      </c>
      <c r="F33">
        <f t="shared" si="3"/>
        <v>2.3983728103532087</v>
      </c>
      <c r="G33">
        <f t="shared" si="4"/>
        <v>5.7521921374415488</v>
      </c>
    </row>
    <row r="34" spans="1:7">
      <c r="A34" s="14">
        <v>29</v>
      </c>
      <c r="B34" s="14">
        <v>210</v>
      </c>
      <c r="C34">
        <f t="shared" si="0"/>
        <v>206.4752547969567</v>
      </c>
      <c r="D34">
        <f t="shared" si="1"/>
        <v>1.8400668886981904</v>
      </c>
      <c r="E34">
        <f t="shared" si="2"/>
        <v>199.66047907539996</v>
      </c>
      <c r="F34">
        <f t="shared" si="3"/>
        <v>10.339520924600038</v>
      </c>
      <c r="G34">
        <f t="shared" si="4"/>
        <v>106.90569295024201</v>
      </c>
    </row>
    <row r="35" spans="1:7">
      <c r="A35" s="14">
        <v>30</v>
      </c>
      <c r="B35" s="14">
        <v>193</v>
      </c>
      <c r="C35">
        <f t="shared" si="0"/>
        <v>198.22099689514053</v>
      </c>
      <c r="D35">
        <f t="shared" si="1"/>
        <v>1.3038844232507754</v>
      </c>
      <c r="E35">
        <f t="shared" si="2"/>
        <v>208.31532168565491</v>
      </c>
      <c r="F35">
        <f t="shared" si="3"/>
        <v>-15.315321685654908</v>
      </c>
      <c r="G35">
        <f t="shared" si="4"/>
        <v>234.5590783350915</v>
      </c>
    </row>
    <row r="36" spans="1:7">
      <c r="A36" s="14">
        <v>31</v>
      </c>
      <c r="B36" s="14">
        <v>211</v>
      </c>
      <c r="C36">
        <f t="shared" si="0"/>
        <v>207.08812924483564</v>
      </c>
      <c r="D36">
        <f t="shared" si="1"/>
        <v>1.7056231233767822</v>
      </c>
      <c r="E36">
        <f t="shared" si="2"/>
        <v>199.52488131839129</v>
      </c>
      <c r="F36">
        <f t="shared" si="3"/>
        <v>11.475118681608706</v>
      </c>
      <c r="G36">
        <f t="shared" si="4"/>
        <v>131.67834875700512</v>
      </c>
    </row>
    <row r="37" spans="1:7">
      <c r="A37" s="14">
        <v>32</v>
      </c>
      <c r="B37" s="14">
        <v>208</v>
      </c>
      <c r="C37">
        <f t="shared" si="0"/>
        <v>208.27059037576919</v>
      </c>
      <c r="D37">
        <f t="shared" si="1"/>
        <v>1.6778342129981316</v>
      </c>
      <c r="E37">
        <f t="shared" si="2"/>
        <v>208.79375236821244</v>
      </c>
      <c r="F37">
        <f t="shared" si="3"/>
        <v>-0.79375236821243789</v>
      </c>
      <c r="G37">
        <f t="shared" si="4"/>
        <v>0.63004282204285356</v>
      </c>
    </row>
    <row r="38" spans="1:7">
      <c r="A38" s="14">
        <v>33</v>
      </c>
      <c r="B38" s="14">
        <v>216</v>
      </c>
      <c r="C38">
        <f t="shared" si="0"/>
        <v>213.93701646747988</v>
      </c>
      <c r="D38">
        <f t="shared" si="1"/>
        <v>1.8896971232545243</v>
      </c>
      <c r="E38">
        <f t="shared" si="2"/>
        <v>209.94842458876732</v>
      </c>
      <c r="F38">
        <f t="shared" si="3"/>
        <v>6.0515754112326761</v>
      </c>
      <c r="G38">
        <f t="shared" si="4"/>
        <v>36.621564957835929</v>
      </c>
    </row>
    <row r="39" spans="1:7">
      <c r="A39" s="14">
        <v>34</v>
      </c>
      <c r="B39" s="14">
        <v>218</v>
      </c>
      <c r="C39">
        <f t="shared" si="0"/>
        <v>217.25912613342919</v>
      </c>
      <c r="D39">
        <f t="shared" si="1"/>
        <v>1.9657828946774543</v>
      </c>
      <c r="E39">
        <f t="shared" si="2"/>
        <v>215.82671359073441</v>
      </c>
      <c r="F39">
        <f t="shared" si="3"/>
        <v>2.1732864092655859</v>
      </c>
      <c r="G39">
        <f t="shared" si="4"/>
        <v>4.7231738166985036</v>
      </c>
    </row>
    <row r="40" spans="1:7">
      <c r="A40" s="14">
        <v>35</v>
      </c>
      <c r="B40" s="14">
        <v>264</v>
      </c>
      <c r="C40">
        <f t="shared" si="0"/>
        <v>248.73616057553326</v>
      </c>
      <c r="D40">
        <f t="shared" si="1"/>
        <v>3.5333385203897629</v>
      </c>
      <c r="E40">
        <f t="shared" si="2"/>
        <v>219.22490902810665</v>
      </c>
      <c r="F40">
        <f t="shared" si="3"/>
        <v>44.775090971893349</v>
      </c>
      <c r="G40">
        <f t="shared" si="4"/>
        <v>2004.8087715413253</v>
      </c>
    </row>
    <row r="41" spans="1:7">
      <c r="A41" s="14">
        <v>36</v>
      </c>
      <c r="B41" s="14">
        <v>304</v>
      </c>
      <c r="C41">
        <f t="shared" si="0"/>
        <v>286.36505963454721</v>
      </c>
      <c r="D41">
        <f t="shared" si="1"/>
        <v>5.3443998929731125</v>
      </c>
      <c r="E41">
        <f t="shared" si="2"/>
        <v>252.26949909592304</v>
      </c>
      <c r="F41">
        <f t="shared" si="3"/>
        <v>51.730500904076962</v>
      </c>
      <c r="G41">
        <f t="shared" si="4"/>
        <v>2676.0447237867074</v>
      </c>
    </row>
    <row r="42" spans="1:7">
      <c r="A42" s="22">
        <v>37</v>
      </c>
      <c r="B42">
        <f>C$41+(A42-A$41)*D$41</f>
        <v>291.70945952752032</v>
      </c>
    </row>
    <row r="43" spans="1:7">
      <c r="A43" s="22">
        <v>38</v>
      </c>
      <c r="B43">
        <f t="shared" ref="B43:B53" si="5">C$41+(A43-A$41)*D$41</f>
        <v>297.05385942049344</v>
      </c>
    </row>
    <row r="44" spans="1:7">
      <c r="A44" s="22">
        <v>39</v>
      </c>
      <c r="B44">
        <f t="shared" si="5"/>
        <v>302.39825931346655</v>
      </c>
    </row>
    <row r="45" spans="1:7">
      <c r="A45" s="22">
        <v>40</v>
      </c>
      <c r="B45">
        <f t="shared" si="5"/>
        <v>307.74265920643967</v>
      </c>
    </row>
    <row r="46" spans="1:7">
      <c r="A46" s="22">
        <v>41</v>
      </c>
      <c r="B46">
        <f t="shared" si="5"/>
        <v>313.08705909941278</v>
      </c>
    </row>
    <row r="47" spans="1:7">
      <c r="A47" s="22">
        <v>42</v>
      </c>
      <c r="B47">
        <f t="shared" si="5"/>
        <v>318.4314589923859</v>
      </c>
    </row>
    <row r="48" spans="1:7">
      <c r="A48" s="22">
        <v>43</v>
      </c>
      <c r="B48">
        <f t="shared" si="5"/>
        <v>323.77585888535901</v>
      </c>
    </row>
    <row r="49" spans="1:2">
      <c r="A49" s="22">
        <v>44</v>
      </c>
      <c r="B49">
        <f t="shared" si="5"/>
        <v>329.12025877833213</v>
      </c>
    </row>
    <row r="50" spans="1:2">
      <c r="A50" s="22">
        <v>45</v>
      </c>
      <c r="B50">
        <f t="shared" si="5"/>
        <v>334.46465867130524</v>
      </c>
    </row>
    <row r="51" spans="1:2">
      <c r="A51" s="22">
        <v>46</v>
      </c>
      <c r="B51">
        <f t="shared" si="5"/>
        <v>339.8090585642783</v>
      </c>
    </row>
    <row r="52" spans="1:2">
      <c r="A52" s="22">
        <v>47</v>
      </c>
      <c r="B52">
        <f t="shared" si="5"/>
        <v>345.15345845725142</v>
      </c>
    </row>
    <row r="53" spans="1:2">
      <c r="A53" s="22">
        <v>48</v>
      </c>
      <c r="B53">
        <f t="shared" si="5"/>
        <v>350.49785835022453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"/>
  <sheetViews>
    <sheetView workbookViewId="0">
      <pane ySplit="1" topLeftCell="A2" activePane="bottomLeft" state="frozen"/>
      <selection pane="bottomLeft" activeCell="Q10" sqref="Q10"/>
    </sheetView>
  </sheetViews>
  <sheetFormatPr baseColWidth="10" defaultRowHeight="15" x14ac:dyDescent="0"/>
  <cols>
    <col min="2" max="2" width="13.33203125" bestFit="1" customWidth="1"/>
    <col min="3" max="3" width="19.1640625" bestFit="1" customWidth="1"/>
  </cols>
  <sheetData>
    <row r="1" spans="1:17">
      <c r="A1" s="13" t="s">
        <v>1</v>
      </c>
      <c r="B1" t="s">
        <v>28</v>
      </c>
      <c r="C1" t="s">
        <v>29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7">
      <c r="A2" s="14">
        <v>1</v>
      </c>
      <c r="B2">
        <v>8.2830999999999904</v>
      </c>
      <c r="C2">
        <f>B2-B$38</f>
        <v>4.7066946142091801</v>
      </c>
    </row>
    <row r="3" spans="1:17">
      <c r="A3" s="14">
        <v>2</v>
      </c>
      <c r="B3">
        <v>7.6968232347484786</v>
      </c>
      <c r="C3">
        <f t="shared" ref="C3:C37" si="0">B3-B$38</f>
        <v>4.1204178489576684</v>
      </c>
      <c r="D3">
        <f>C2</f>
        <v>4.7066946142091801</v>
      </c>
      <c r="E3">
        <f t="shared" ref="E3:O18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7">
      <c r="A4" s="14">
        <v>3</v>
      </c>
      <c r="B4">
        <v>-22.772500947708892</v>
      </c>
      <c r="C4">
        <f t="shared" si="0"/>
        <v>-26.348906333499702</v>
      </c>
      <c r="D4">
        <f t="shared" ref="D4:D37" si="2">C3</f>
        <v>4.1204178489576684</v>
      </c>
      <c r="E4">
        <f t="shared" si="1"/>
        <v>4.7066946142091801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7">
      <c r="A5" s="14">
        <v>4</v>
      </c>
      <c r="B5">
        <v>-12.362246058231761</v>
      </c>
      <c r="C5">
        <f t="shared" si="0"/>
        <v>-15.938651444022572</v>
      </c>
      <c r="D5">
        <f t="shared" si="2"/>
        <v>-26.348906333499702</v>
      </c>
      <c r="E5">
        <f t="shared" si="1"/>
        <v>4.1204178489576684</v>
      </c>
      <c r="F5">
        <f t="shared" si="1"/>
        <v>4.7066946142091801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7">
      <c r="A6" s="14">
        <v>5</v>
      </c>
      <c r="B6">
        <v>16.61940899787254</v>
      </c>
      <c r="C6">
        <f t="shared" si="0"/>
        <v>13.04300361208173</v>
      </c>
      <c r="D6">
        <f t="shared" si="2"/>
        <v>-15.938651444022572</v>
      </c>
      <c r="E6">
        <f t="shared" si="1"/>
        <v>-26.348906333499702</v>
      </c>
      <c r="F6">
        <f t="shared" si="1"/>
        <v>4.1204178489576684</v>
      </c>
      <c r="G6">
        <f t="shared" si="1"/>
        <v>4.7066946142091801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7">
      <c r="A7" s="14">
        <v>6</v>
      </c>
      <c r="B7">
        <v>0.91742429888819288</v>
      </c>
      <c r="C7">
        <f t="shared" si="0"/>
        <v>-2.6589810869026178</v>
      </c>
      <c r="D7">
        <f t="shared" si="2"/>
        <v>13.04300361208173</v>
      </c>
      <c r="E7">
        <f t="shared" si="1"/>
        <v>-15.938651444022572</v>
      </c>
      <c r="F7">
        <f t="shared" si="1"/>
        <v>-26.348906333499702</v>
      </c>
      <c r="G7">
        <f t="shared" si="1"/>
        <v>4.1204178489576684</v>
      </c>
      <c r="H7">
        <f t="shared" si="1"/>
        <v>4.7066946142091801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  <c r="Q7" t="s">
        <v>30</v>
      </c>
    </row>
    <row r="8" spans="1:17">
      <c r="A8" s="14">
        <v>7</v>
      </c>
      <c r="B8">
        <v>-8.4675047203062377</v>
      </c>
      <c r="C8">
        <f t="shared" si="0"/>
        <v>-12.043910106097048</v>
      </c>
      <c r="D8">
        <f t="shared" si="2"/>
        <v>-2.6589810869026178</v>
      </c>
      <c r="E8">
        <f t="shared" si="1"/>
        <v>13.04300361208173</v>
      </c>
      <c r="F8">
        <f t="shared" si="1"/>
        <v>-15.938651444022572</v>
      </c>
      <c r="G8">
        <f t="shared" si="1"/>
        <v>-26.348906333499702</v>
      </c>
      <c r="H8">
        <f t="shared" si="1"/>
        <v>4.1204178489576684</v>
      </c>
      <c r="I8">
        <f t="shared" si="1"/>
        <v>4.7066946142091801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Q8" t="s">
        <v>34</v>
      </c>
    </row>
    <row r="9" spans="1:17">
      <c r="A9" s="14">
        <v>8</v>
      </c>
      <c r="B9">
        <v>-5.3703858106099744</v>
      </c>
      <c r="C9">
        <f t="shared" si="0"/>
        <v>-8.9467911964007847</v>
      </c>
      <c r="D9">
        <f t="shared" si="2"/>
        <v>-12.043910106097048</v>
      </c>
      <c r="E9">
        <f t="shared" si="1"/>
        <v>-2.6589810869026178</v>
      </c>
      <c r="F9">
        <f t="shared" si="1"/>
        <v>13.04300361208173</v>
      </c>
      <c r="G9">
        <f t="shared" si="1"/>
        <v>-15.938651444022572</v>
      </c>
      <c r="H9">
        <f t="shared" si="1"/>
        <v>-26.348906333499702</v>
      </c>
      <c r="I9">
        <f t="shared" si="1"/>
        <v>4.1204178489576684</v>
      </c>
      <c r="J9">
        <f t="shared" si="1"/>
        <v>4.7066946142091801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Q9" t="s">
        <v>35</v>
      </c>
    </row>
    <row r="10" spans="1:17">
      <c r="A10" s="14">
        <v>9</v>
      </c>
      <c r="B10">
        <v>6.8734375518195918</v>
      </c>
      <c r="C10">
        <f t="shared" si="0"/>
        <v>3.2970321660287811</v>
      </c>
      <c r="D10">
        <f t="shared" si="2"/>
        <v>-8.9467911964007847</v>
      </c>
      <c r="E10">
        <f t="shared" si="1"/>
        <v>-12.043910106097048</v>
      </c>
      <c r="F10">
        <f t="shared" si="1"/>
        <v>-2.6589810869026178</v>
      </c>
      <c r="G10">
        <f t="shared" si="1"/>
        <v>13.04300361208173</v>
      </c>
      <c r="H10">
        <f t="shared" si="1"/>
        <v>-15.938651444022572</v>
      </c>
      <c r="I10">
        <f t="shared" si="1"/>
        <v>-26.348906333499702</v>
      </c>
      <c r="J10">
        <f t="shared" si="1"/>
        <v>4.1204178489576684</v>
      </c>
      <c r="K10">
        <f t="shared" si="1"/>
        <v>4.7066946142091801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Q10" t="s">
        <v>36</v>
      </c>
    </row>
    <row r="11" spans="1:17">
      <c r="A11" s="14">
        <v>10</v>
      </c>
      <c r="B11">
        <v>11.806723989001227</v>
      </c>
      <c r="C11">
        <f t="shared" si="0"/>
        <v>8.2303186032104172</v>
      </c>
      <c r="D11">
        <f t="shared" si="2"/>
        <v>3.2970321660287811</v>
      </c>
      <c r="E11">
        <f t="shared" si="1"/>
        <v>-8.9467911964007847</v>
      </c>
      <c r="F11">
        <f t="shared" si="1"/>
        <v>-12.043910106097048</v>
      </c>
      <c r="G11">
        <f t="shared" si="1"/>
        <v>-2.6589810869026178</v>
      </c>
      <c r="H11">
        <f t="shared" si="1"/>
        <v>13.04300361208173</v>
      </c>
      <c r="I11">
        <f t="shared" si="1"/>
        <v>-15.938651444022572</v>
      </c>
      <c r="J11">
        <f t="shared" si="1"/>
        <v>-26.348906333499702</v>
      </c>
      <c r="K11">
        <f t="shared" si="1"/>
        <v>4.1204178489576684</v>
      </c>
      <c r="L11">
        <f t="shared" si="1"/>
        <v>4.7066946142091801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7">
      <c r="A12" s="14">
        <v>11</v>
      </c>
      <c r="B12">
        <v>7.0751344862015628</v>
      </c>
      <c r="C12">
        <f t="shared" si="0"/>
        <v>3.4987291004107521</v>
      </c>
      <c r="D12">
        <f t="shared" si="2"/>
        <v>8.2303186032104172</v>
      </c>
      <c r="E12">
        <f t="shared" si="1"/>
        <v>3.2970321660287811</v>
      </c>
      <c r="F12">
        <f t="shared" si="1"/>
        <v>-8.9467911964007847</v>
      </c>
      <c r="G12">
        <f t="shared" si="1"/>
        <v>-12.043910106097048</v>
      </c>
      <c r="H12">
        <f t="shared" si="1"/>
        <v>-2.6589810869026178</v>
      </c>
      <c r="I12">
        <f t="shared" si="1"/>
        <v>13.04300361208173</v>
      </c>
      <c r="J12">
        <f t="shared" si="1"/>
        <v>-15.938651444022572</v>
      </c>
      <c r="K12">
        <f t="shared" si="1"/>
        <v>-26.348906333499702</v>
      </c>
      <c r="L12">
        <f t="shared" si="1"/>
        <v>4.1204178489576684</v>
      </c>
      <c r="M12">
        <f t="shared" si="1"/>
        <v>4.7066946142091801</v>
      </c>
      <c r="N12">
        <f t="shared" si="1"/>
        <v>0</v>
      </c>
      <c r="O12">
        <f t="shared" si="1"/>
        <v>0</v>
      </c>
    </row>
    <row r="13" spans="1:17">
      <c r="A13" s="14">
        <v>12</v>
      </c>
      <c r="B13">
        <v>31.2144372223581</v>
      </c>
      <c r="C13">
        <f t="shared" si="0"/>
        <v>27.63803183656729</v>
      </c>
      <c r="D13">
        <f t="shared" si="2"/>
        <v>3.4987291004107521</v>
      </c>
      <c r="E13">
        <f t="shared" si="1"/>
        <v>8.2303186032104172</v>
      </c>
      <c r="F13">
        <f t="shared" si="1"/>
        <v>3.2970321660287811</v>
      </c>
      <c r="G13">
        <f t="shared" si="1"/>
        <v>-8.9467911964007847</v>
      </c>
      <c r="H13">
        <f t="shared" si="1"/>
        <v>-12.043910106097048</v>
      </c>
      <c r="I13">
        <f t="shared" si="1"/>
        <v>-2.6589810869026178</v>
      </c>
      <c r="J13">
        <f t="shared" si="1"/>
        <v>13.04300361208173</v>
      </c>
      <c r="K13">
        <f t="shared" si="1"/>
        <v>-15.938651444022572</v>
      </c>
      <c r="L13">
        <f t="shared" si="1"/>
        <v>-26.348906333499702</v>
      </c>
      <c r="M13">
        <f t="shared" si="1"/>
        <v>4.1204178489576684</v>
      </c>
      <c r="N13">
        <f t="shared" si="1"/>
        <v>4.7066946142091801</v>
      </c>
      <c r="O13">
        <f t="shared" si="1"/>
        <v>0</v>
      </c>
    </row>
    <row r="14" spans="1:17">
      <c r="A14" s="14">
        <v>13</v>
      </c>
      <c r="B14">
        <v>-25.649271880711922</v>
      </c>
      <c r="C14">
        <f t="shared" si="0"/>
        <v>-29.225677266502732</v>
      </c>
      <c r="D14">
        <f t="shared" si="2"/>
        <v>27.63803183656729</v>
      </c>
      <c r="E14">
        <f t="shared" si="1"/>
        <v>3.4987291004107521</v>
      </c>
      <c r="F14">
        <f t="shared" si="1"/>
        <v>8.2303186032104172</v>
      </c>
      <c r="G14">
        <f t="shared" si="1"/>
        <v>3.2970321660287811</v>
      </c>
      <c r="H14">
        <f t="shared" si="1"/>
        <v>-8.9467911964007847</v>
      </c>
      <c r="I14">
        <f t="shared" si="1"/>
        <v>-12.043910106097048</v>
      </c>
      <c r="J14">
        <f t="shared" si="1"/>
        <v>-2.6589810869026178</v>
      </c>
      <c r="K14">
        <f t="shared" si="1"/>
        <v>13.04300361208173</v>
      </c>
      <c r="L14">
        <f t="shared" si="1"/>
        <v>-15.938651444022572</v>
      </c>
      <c r="M14">
        <f t="shared" si="1"/>
        <v>-26.348906333499702</v>
      </c>
      <c r="N14">
        <f t="shared" si="1"/>
        <v>4.1204178489576684</v>
      </c>
      <c r="O14">
        <f t="shared" si="1"/>
        <v>4.7066946142091801</v>
      </c>
    </row>
    <row r="15" spans="1:17">
      <c r="A15" s="14">
        <v>14</v>
      </c>
      <c r="B15">
        <v>-13.13615479774316</v>
      </c>
      <c r="C15">
        <f t="shared" si="0"/>
        <v>-16.71256018353397</v>
      </c>
      <c r="D15">
        <f t="shared" si="2"/>
        <v>-29.225677266502732</v>
      </c>
      <c r="E15">
        <f t="shared" si="1"/>
        <v>27.63803183656729</v>
      </c>
      <c r="F15">
        <f t="shared" si="1"/>
        <v>3.4987291004107521</v>
      </c>
      <c r="G15">
        <f t="shared" si="1"/>
        <v>8.2303186032104172</v>
      </c>
      <c r="H15">
        <f t="shared" si="1"/>
        <v>3.2970321660287811</v>
      </c>
      <c r="I15">
        <f t="shared" si="1"/>
        <v>-8.9467911964007847</v>
      </c>
      <c r="J15">
        <f t="shared" si="1"/>
        <v>-12.043910106097048</v>
      </c>
      <c r="K15">
        <f t="shared" si="1"/>
        <v>-2.6589810869026178</v>
      </c>
      <c r="L15">
        <f t="shared" si="1"/>
        <v>13.04300361208173</v>
      </c>
      <c r="M15">
        <f t="shared" si="1"/>
        <v>-15.938651444022572</v>
      </c>
      <c r="N15">
        <f t="shared" si="1"/>
        <v>-26.348906333499702</v>
      </c>
      <c r="O15">
        <f t="shared" si="1"/>
        <v>4.1204178489576684</v>
      </c>
    </row>
    <row r="16" spans="1:17">
      <c r="A16" s="14">
        <v>15</v>
      </c>
      <c r="B16">
        <v>-9.4105393134499309</v>
      </c>
      <c r="C16">
        <f t="shared" si="0"/>
        <v>-12.986944699240741</v>
      </c>
      <c r="D16">
        <f t="shared" si="2"/>
        <v>-16.71256018353397</v>
      </c>
      <c r="E16">
        <f t="shared" si="1"/>
        <v>-29.225677266502732</v>
      </c>
      <c r="F16">
        <f t="shared" si="1"/>
        <v>27.63803183656729</v>
      </c>
      <c r="G16">
        <f t="shared" si="1"/>
        <v>3.4987291004107521</v>
      </c>
      <c r="H16">
        <f t="shared" si="1"/>
        <v>8.2303186032104172</v>
      </c>
      <c r="I16">
        <f t="shared" si="1"/>
        <v>3.2970321660287811</v>
      </c>
      <c r="J16">
        <f t="shared" si="1"/>
        <v>-8.9467911964007847</v>
      </c>
      <c r="K16">
        <f t="shared" si="1"/>
        <v>-12.043910106097048</v>
      </c>
      <c r="L16">
        <f t="shared" si="1"/>
        <v>-2.6589810869026178</v>
      </c>
      <c r="M16">
        <f t="shared" si="1"/>
        <v>13.04300361208173</v>
      </c>
      <c r="N16">
        <f t="shared" si="1"/>
        <v>-15.938651444022572</v>
      </c>
      <c r="O16">
        <f t="shared" si="1"/>
        <v>-26.348906333499702</v>
      </c>
    </row>
    <row r="17" spans="1:15">
      <c r="A17" s="14">
        <v>16</v>
      </c>
      <c r="B17">
        <v>-18.811017373979126</v>
      </c>
      <c r="C17">
        <f t="shared" si="0"/>
        <v>-22.387422759769937</v>
      </c>
      <c r="D17">
        <f t="shared" si="2"/>
        <v>-12.986944699240741</v>
      </c>
      <c r="E17">
        <f t="shared" si="1"/>
        <v>-16.71256018353397</v>
      </c>
      <c r="F17">
        <f t="shared" si="1"/>
        <v>-29.225677266502732</v>
      </c>
      <c r="G17">
        <f t="shared" si="1"/>
        <v>27.63803183656729</v>
      </c>
      <c r="H17">
        <f t="shared" si="1"/>
        <v>3.4987291004107521</v>
      </c>
      <c r="I17">
        <f t="shared" si="1"/>
        <v>8.2303186032104172</v>
      </c>
      <c r="J17">
        <f t="shared" si="1"/>
        <v>3.2970321660287811</v>
      </c>
      <c r="K17">
        <f t="shared" si="1"/>
        <v>-8.9467911964007847</v>
      </c>
      <c r="L17">
        <f t="shared" si="1"/>
        <v>-12.043910106097048</v>
      </c>
      <c r="M17">
        <f t="shared" si="1"/>
        <v>-2.6589810869026178</v>
      </c>
      <c r="N17">
        <f t="shared" si="1"/>
        <v>13.04300361208173</v>
      </c>
      <c r="O17">
        <f t="shared" si="1"/>
        <v>-15.938651444022572</v>
      </c>
    </row>
    <row r="18" spans="1:15">
      <c r="A18" s="14">
        <v>17</v>
      </c>
      <c r="B18">
        <v>34.642922550101673</v>
      </c>
      <c r="C18">
        <f t="shared" si="0"/>
        <v>31.066517164310863</v>
      </c>
      <c r="D18">
        <f t="shared" si="2"/>
        <v>-22.387422759769937</v>
      </c>
      <c r="E18">
        <f t="shared" si="1"/>
        <v>-12.986944699240741</v>
      </c>
      <c r="F18">
        <f t="shared" si="1"/>
        <v>-16.71256018353397</v>
      </c>
      <c r="G18">
        <f t="shared" si="1"/>
        <v>-29.225677266502732</v>
      </c>
      <c r="H18">
        <f t="shared" si="1"/>
        <v>27.63803183656729</v>
      </c>
      <c r="I18">
        <f t="shared" si="1"/>
        <v>3.4987291004107521</v>
      </c>
      <c r="J18">
        <f t="shared" si="1"/>
        <v>8.2303186032104172</v>
      </c>
      <c r="K18">
        <f t="shared" si="1"/>
        <v>3.2970321660287811</v>
      </c>
      <c r="L18">
        <f t="shared" si="1"/>
        <v>-8.9467911964007847</v>
      </c>
      <c r="M18">
        <f t="shared" si="1"/>
        <v>-12.043910106097048</v>
      </c>
      <c r="N18">
        <f t="shared" si="1"/>
        <v>-2.6589810869026178</v>
      </c>
      <c r="O18">
        <f t="shared" si="1"/>
        <v>13.04300361208173</v>
      </c>
    </row>
    <row r="19" spans="1:15">
      <c r="A19" s="14">
        <v>18</v>
      </c>
      <c r="B19">
        <v>-16.347449307549766</v>
      </c>
      <c r="C19">
        <f t="shared" si="0"/>
        <v>-19.923854693340576</v>
      </c>
      <c r="D19">
        <f t="shared" si="2"/>
        <v>31.066517164310863</v>
      </c>
      <c r="E19">
        <f t="shared" ref="E19:O34" si="3">D18</f>
        <v>-22.387422759769937</v>
      </c>
      <c r="F19">
        <f t="shared" si="3"/>
        <v>-12.986944699240741</v>
      </c>
      <c r="G19">
        <f t="shared" si="3"/>
        <v>-16.71256018353397</v>
      </c>
      <c r="H19">
        <f t="shared" si="3"/>
        <v>-29.225677266502732</v>
      </c>
      <c r="I19">
        <f t="shared" si="3"/>
        <v>27.63803183656729</v>
      </c>
      <c r="J19">
        <f t="shared" si="3"/>
        <v>3.4987291004107521</v>
      </c>
      <c r="K19">
        <f t="shared" si="3"/>
        <v>8.2303186032104172</v>
      </c>
      <c r="L19">
        <f t="shared" si="3"/>
        <v>3.2970321660287811</v>
      </c>
      <c r="M19">
        <f t="shared" si="3"/>
        <v>-8.9467911964007847</v>
      </c>
      <c r="N19">
        <f t="shared" si="3"/>
        <v>-12.043910106097048</v>
      </c>
      <c r="O19">
        <f t="shared" si="3"/>
        <v>-2.6589810869026178</v>
      </c>
    </row>
    <row r="20" spans="1:15">
      <c r="A20" s="14">
        <v>19</v>
      </c>
      <c r="B20">
        <v>-5.1577627153644983</v>
      </c>
      <c r="C20">
        <f t="shared" si="0"/>
        <v>-8.7341681011553085</v>
      </c>
      <c r="D20">
        <f t="shared" si="2"/>
        <v>-19.923854693340576</v>
      </c>
      <c r="E20">
        <f t="shared" si="3"/>
        <v>31.066517164310863</v>
      </c>
      <c r="F20">
        <f t="shared" si="3"/>
        <v>-22.387422759769937</v>
      </c>
      <c r="G20">
        <f t="shared" si="3"/>
        <v>-12.986944699240741</v>
      </c>
      <c r="H20">
        <f t="shared" si="3"/>
        <v>-16.71256018353397</v>
      </c>
      <c r="I20">
        <f t="shared" si="3"/>
        <v>-29.225677266502732</v>
      </c>
      <c r="J20">
        <f t="shared" si="3"/>
        <v>27.63803183656729</v>
      </c>
      <c r="K20">
        <f t="shared" si="3"/>
        <v>3.4987291004107521</v>
      </c>
      <c r="L20">
        <f t="shared" si="3"/>
        <v>8.2303186032104172</v>
      </c>
      <c r="M20">
        <f t="shared" si="3"/>
        <v>3.2970321660287811</v>
      </c>
      <c r="N20">
        <f t="shared" si="3"/>
        <v>-8.9467911964007847</v>
      </c>
      <c r="O20">
        <f t="shared" si="3"/>
        <v>-12.043910106097048</v>
      </c>
    </row>
    <row r="21" spans="1:15">
      <c r="A21" s="14">
        <v>20</v>
      </c>
      <c r="B21">
        <v>4.8373751041448543</v>
      </c>
      <c r="C21">
        <f t="shared" si="0"/>
        <v>1.2609697183540436</v>
      </c>
      <c r="D21">
        <f t="shared" si="2"/>
        <v>-8.7341681011553085</v>
      </c>
      <c r="E21">
        <f t="shared" si="3"/>
        <v>-19.923854693340576</v>
      </c>
      <c r="F21">
        <f t="shared" si="3"/>
        <v>31.066517164310863</v>
      </c>
      <c r="G21">
        <f t="shared" si="3"/>
        <v>-22.387422759769937</v>
      </c>
      <c r="H21">
        <f t="shared" si="3"/>
        <v>-12.986944699240741</v>
      </c>
      <c r="I21">
        <f t="shared" si="3"/>
        <v>-16.71256018353397</v>
      </c>
      <c r="J21">
        <f t="shared" si="3"/>
        <v>-29.225677266502732</v>
      </c>
      <c r="K21">
        <f t="shared" si="3"/>
        <v>27.63803183656729</v>
      </c>
      <c r="L21">
        <f t="shared" si="3"/>
        <v>3.4987291004107521</v>
      </c>
      <c r="M21">
        <f t="shared" si="3"/>
        <v>8.2303186032104172</v>
      </c>
      <c r="N21">
        <f t="shared" si="3"/>
        <v>3.2970321660287811</v>
      </c>
      <c r="O21">
        <f t="shared" si="3"/>
        <v>-8.9467911964007847</v>
      </c>
    </row>
    <row r="22" spans="1:15">
      <c r="A22" s="14">
        <v>21</v>
      </c>
      <c r="B22">
        <v>17.075365714487361</v>
      </c>
      <c r="C22">
        <f t="shared" si="0"/>
        <v>13.498960328696551</v>
      </c>
      <c r="D22">
        <f t="shared" si="2"/>
        <v>1.2609697183540436</v>
      </c>
      <c r="E22">
        <f t="shared" si="3"/>
        <v>-8.7341681011553085</v>
      </c>
      <c r="F22">
        <f t="shared" si="3"/>
        <v>-19.923854693340576</v>
      </c>
      <c r="G22">
        <f t="shared" si="3"/>
        <v>31.066517164310863</v>
      </c>
      <c r="H22">
        <f t="shared" si="3"/>
        <v>-22.387422759769937</v>
      </c>
      <c r="I22">
        <f t="shared" si="3"/>
        <v>-12.986944699240741</v>
      </c>
      <c r="J22">
        <f t="shared" si="3"/>
        <v>-16.71256018353397</v>
      </c>
      <c r="K22">
        <f t="shared" si="3"/>
        <v>-29.225677266502732</v>
      </c>
      <c r="L22">
        <f t="shared" si="3"/>
        <v>27.63803183656729</v>
      </c>
      <c r="M22">
        <f t="shared" si="3"/>
        <v>3.4987291004107521</v>
      </c>
      <c r="N22">
        <f t="shared" si="3"/>
        <v>8.2303186032104172</v>
      </c>
      <c r="O22">
        <f t="shared" si="3"/>
        <v>3.2970321660287811</v>
      </c>
    </row>
    <row r="23" spans="1:15">
      <c r="A23" s="14">
        <v>22</v>
      </c>
      <c r="B23">
        <v>7.6494988875057572</v>
      </c>
      <c r="C23">
        <f t="shared" si="0"/>
        <v>4.073093501714947</v>
      </c>
      <c r="D23">
        <f t="shared" si="2"/>
        <v>13.498960328696551</v>
      </c>
      <c r="E23">
        <f t="shared" si="3"/>
        <v>1.2609697183540436</v>
      </c>
      <c r="F23">
        <f t="shared" si="3"/>
        <v>-8.7341681011553085</v>
      </c>
      <c r="G23">
        <f t="shared" si="3"/>
        <v>-19.923854693340576</v>
      </c>
      <c r="H23">
        <f t="shared" si="3"/>
        <v>31.066517164310863</v>
      </c>
      <c r="I23">
        <f t="shared" si="3"/>
        <v>-22.387422759769937</v>
      </c>
      <c r="J23">
        <f t="shared" si="3"/>
        <v>-12.986944699240741</v>
      </c>
      <c r="K23">
        <f t="shared" si="3"/>
        <v>-16.71256018353397</v>
      </c>
      <c r="L23">
        <f t="shared" si="3"/>
        <v>-29.225677266502732</v>
      </c>
      <c r="M23">
        <f t="shared" si="3"/>
        <v>27.63803183656729</v>
      </c>
      <c r="N23">
        <f t="shared" si="3"/>
        <v>3.4987291004107521</v>
      </c>
      <c r="O23">
        <f t="shared" si="3"/>
        <v>8.2303186032104172</v>
      </c>
    </row>
    <row r="24" spans="1:15">
      <c r="A24" s="14">
        <v>23</v>
      </c>
      <c r="B24">
        <v>13.168413102637402</v>
      </c>
      <c r="C24">
        <f t="shared" si="0"/>
        <v>9.5920077168465916</v>
      </c>
      <c r="D24">
        <f t="shared" si="2"/>
        <v>4.073093501714947</v>
      </c>
      <c r="E24">
        <f t="shared" si="3"/>
        <v>13.498960328696551</v>
      </c>
      <c r="F24">
        <f t="shared" si="3"/>
        <v>1.2609697183540436</v>
      </c>
      <c r="G24">
        <f t="shared" si="3"/>
        <v>-8.7341681011553085</v>
      </c>
      <c r="H24">
        <f t="shared" si="3"/>
        <v>-19.923854693340576</v>
      </c>
      <c r="I24">
        <f t="shared" si="3"/>
        <v>31.066517164310863</v>
      </c>
      <c r="J24">
        <f t="shared" si="3"/>
        <v>-22.387422759769937</v>
      </c>
      <c r="K24">
        <f t="shared" si="3"/>
        <v>-12.986944699240741</v>
      </c>
      <c r="L24">
        <f t="shared" si="3"/>
        <v>-16.71256018353397</v>
      </c>
      <c r="M24">
        <f t="shared" si="3"/>
        <v>-29.225677266502732</v>
      </c>
      <c r="N24">
        <f t="shared" si="3"/>
        <v>27.63803183656729</v>
      </c>
      <c r="O24">
        <f t="shared" si="3"/>
        <v>3.4987291004107521</v>
      </c>
    </row>
    <row r="25" spans="1:15">
      <c r="A25" s="14">
        <v>24</v>
      </c>
      <c r="B25">
        <v>31.588792133834801</v>
      </c>
      <c r="C25">
        <f t="shared" si="0"/>
        <v>28.012386748043991</v>
      </c>
      <c r="D25">
        <f t="shared" si="2"/>
        <v>9.5920077168465916</v>
      </c>
      <c r="E25">
        <f t="shared" si="3"/>
        <v>4.073093501714947</v>
      </c>
      <c r="F25">
        <f t="shared" si="3"/>
        <v>13.498960328696551</v>
      </c>
      <c r="G25">
        <f t="shared" si="3"/>
        <v>1.2609697183540436</v>
      </c>
      <c r="H25">
        <f t="shared" si="3"/>
        <v>-8.7341681011553085</v>
      </c>
      <c r="I25">
        <f t="shared" si="3"/>
        <v>-19.923854693340576</v>
      </c>
      <c r="J25">
        <f t="shared" si="3"/>
        <v>31.066517164310863</v>
      </c>
      <c r="K25">
        <f t="shared" si="3"/>
        <v>-22.387422759769937</v>
      </c>
      <c r="L25">
        <f t="shared" si="3"/>
        <v>-12.986944699240741</v>
      </c>
      <c r="M25">
        <f t="shared" si="3"/>
        <v>-16.71256018353397</v>
      </c>
      <c r="N25">
        <f t="shared" si="3"/>
        <v>-29.225677266502732</v>
      </c>
      <c r="O25">
        <f t="shared" si="3"/>
        <v>27.63803183656729</v>
      </c>
    </row>
    <row r="26" spans="1:15">
      <c r="A26" s="14">
        <v>25</v>
      </c>
      <c r="B26">
        <v>-32.237605449665949</v>
      </c>
      <c r="C26">
        <f t="shared" si="0"/>
        <v>-35.814010835456763</v>
      </c>
      <c r="D26">
        <f t="shared" si="2"/>
        <v>28.012386748043991</v>
      </c>
      <c r="E26">
        <f t="shared" si="3"/>
        <v>9.5920077168465916</v>
      </c>
      <c r="F26">
        <f t="shared" si="3"/>
        <v>4.073093501714947</v>
      </c>
      <c r="G26">
        <f t="shared" si="3"/>
        <v>13.498960328696551</v>
      </c>
      <c r="H26">
        <f t="shared" si="3"/>
        <v>1.2609697183540436</v>
      </c>
      <c r="I26">
        <f t="shared" si="3"/>
        <v>-8.7341681011553085</v>
      </c>
      <c r="J26">
        <f t="shared" si="3"/>
        <v>-19.923854693340576</v>
      </c>
      <c r="K26">
        <f t="shared" si="3"/>
        <v>31.066517164310863</v>
      </c>
      <c r="L26">
        <f t="shared" si="3"/>
        <v>-22.387422759769937</v>
      </c>
      <c r="M26">
        <f t="shared" si="3"/>
        <v>-12.986944699240741</v>
      </c>
      <c r="N26">
        <f t="shared" si="3"/>
        <v>-16.71256018353397</v>
      </c>
      <c r="O26">
        <f t="shared" si="3"/>
        <v>-29.225677266502732</v>
      </c>
    </row>
    <row r="27" spans="1:15">
      <c r="A27" s="14">
        <v>26</v>
      </c>
      <c r="B27">
        <v>16.132584003339446</v>
      </c>
      <c r="C27">
        <f t="shared" si="0"/>
        <v>12.556178617548635</v>
      </c>
      <c r="D27">
        <f t="shared" si="2"/>
        <v>-35.814010835456763</v>
      </c>
      <c r="E27">
        <f t="shared" si="3"/>
        <v>28.012386748043991</v>
      </c>
      <c r="F27">
        <f t="shared" si="3"/>
        <v>9.5920077168465916</v>
      </c>
      <c r="G27">
        <f t="shared" si="3"/>
        <v>4.073093501714947</v>
      </c>
      <c r="H27">
        <f t="shared" si="3"/>
        <v>13.498960328696551</v>
      </c>
      <c r="I27">
        <f t="shared" si="3"/>
        <v>1.2609697183540436</v>
      </c>
      <c r="J27">
        <f t="shared" si="3"/>
        <v>-8.7341681011553085</v>
      </c>
      <c r="K27">
        <f t="shared" si="3"/>
        <v>-19.923854693340576</v>
      </c>
      <c r="L27">
        <f t="shared" si="3"/>
        <v>31.066517164310863</v>
      </c>
      <c r="M27">
        <f t="shared" si="3"/>
        <v>-22.387422759769937</v>
      </c>
      <c r="N27">
        <f t="shared" si="3"/>
        <v>-12.986944699240741</v>
      </c>
      <c r="O27">
        <f t="shared" si="3"/>
        <v>-16.71256018353397</v>
      </c>
    </row>
    <row r="28" spans="1:15">
      <c r="A28" s="14">
        <v>27</v>
      </c>
      <c r="B28">
        <v>-29.942801072313756</v>
      </c>
      <c r="C28">
        <f t="shared" si="0"/>
        <v>-33.51920645810457</v>
      </c>
      <c r="D28">
        <f t="shared" si="2"/>
        <v>12.556178617548635</v>
      </c>
      <c r="E28">
        <f t="shared" si="3"/>
        <v>-35.814010835456763</v>
      </c>
      <c r="F28">
        <f t="shared" si="3"/>
        <v>28.012386748043991</v>
      </c>
      <c r="G28">
        <f t="shared" si="3"/>
        <v>9.5920077168465916</v>
      </c>
      <c r="H28">
        <f t="shared" si="3"/>
        <v>4.073093501714947</v>
      </c>
      <c r="I28">
        <f t="shared" si="3"/>
        <v>13.498960328696551</v>
      </c>
      <c r="J28">
        <f t="shared" si="3"/>
        <v>1.2609697183540436</v>
      </c>
      <c r="K28">
        <f t="shared" si="3"/>
        <v>-8.7341681011553085</v>
      </c>
      <c r="L28">
        <f t="shared" si="3"/>
        <v>-19.923854693340576</v>
      </c>
      <c r="M28">
        <f t="shared" si="3"/>
        <v>31.066517164310863</v>
      </c>
      <c r="N28">
        <f t="shared" si="3"/>
        <v>-22.387422759769937</v>
      </c>
      <c r="O28">
        <f t="shared" si="3"/>
        <v>-12.986944699240741</v>
      </c>
    </row>
    <row r="29" spans="1:15">
      <c r="A29" s="14">
        <v>28</v>
      </c>
      <c r="B29">
        <v>2.3983728103532087</v>
      </c>
      <c r="C29">
        <f t="shared" si="0"/>
        <v>-1.178032575437602</v>
      </c>
      <c r="D29">
        <f t="shared" si="2"/>
        <v>-33.51920645810457</v>
      </c>
      <c r="E29">
        <f t="shared" si="3"/>
        <v>12.556178617548635</v>
      </c>
      <c r="F29">
        <f t="shared" si="3"/>
        <v>-35.814010835456763</v>
      </c>
      <c r="G29">
        <f t="shared" si="3"/>
        <v>28.012386748043991</v>
      </c>
      <c r="H29">
        <f t="shared" si="3"/>
        <v>9.5920077168465916</v>
      </c>
      <c r="I29">
        <f t="shared" si="3"/>
        <v>4.073093501714947</v>
      </c>
      <c r="J29">
        <f t="shared" si="3"/>
        <v>13.498960328696551</v>
      </c>
      <c r="K29">
        <f t="shared" si="3"/>
        <v>1.2609697183540436</v>
      </c>
      <c r="L29">
        <f t="shared" si="3"/>
        <v>-8.7341681011553085</v>
      </c>
      <c r="M29">
        <f t="shared" si="3"/>
        <v>-19.923854693340576</v>
      </c>
      <c r="N29">
        <f t="shared" si="3"/>
        <v>31.066517164310863</v>
      </c>
      <c r="O29">
        <f t="shared" si="3"/>
        <v>-22.387422759769937</v>
      </c>
    </row>
    <row r="30" spans="1:15">
      <c r="A30" s="14">
        <v>29</v>
      </c>
      <c r="B30">
        <v>10.339520924600038</v>
      </c>
      <c r="C30">
        <f t="shared" si="0"/>
        <v>6.7631155388092274</v>
      </c>
      <c r="D30">
        <f t="shared" si="2"/>
        <v>-1.178032575437602</v>
      </c>
      <c r="E30">
        <f t="shared" si="3"/>
        <v>-33.51920645810457</v>
      </c>
      <c r="F30">
        <f t="shared" si="3"/>
        <v>12.556178617548635</v>
      </c>
      <c r="G30">
        <f t="shared" si="3"/>
        <v>-35.814010835456763</v>
      </c>
      <c r="H30">
        <f t="shared" si="3"/>
        <v>28.012386748043991</v>
      </c>
      <c r="I30">
        <f t="shared" si="3"/>
        <v>9.5920077168465916</v>
      </c>
      <c r="J30">
        <f t="shared" si="3"/>
        <v>4.073093501714947</v>
      </c>
      <c r="K30">
        <f t="shared" si="3"/>
        <v>13.498960328696551</v>
      </c>
      <c r="L30">
        <f t="shared" si="3"/>
        <v>1.2609697183540436</v>
      </c>
      <c r="M30">
        <f t="shared" si="3"/>
        <v>-8.7341681011553085</v>
      </c>
      <c r="N30">
        <f t="shared" si="3"/>
        <v>-19.923854693340576</v>
      </c>
      <c r="O30">
        <f t="shared" si="3"/>
        <v>31.066517164310863</v>
      </c>
    </row>
    <row r="31" spans="1:15">
      <c r="A31" s="14">
        <v>30</v>
      </c>
      <c r="B31">
        <v>-15.315321685654908</v>
      </c>
      <c r="C31">
        <f t="shared" si="0"/>
        <v>-18.891727071445718</v>
      </c>
      <c r="D31">
        <f t="shared" si="2"/>
        <v>6.7631155388092274</v>
      </c>
      <c r="E31">
        <f t="shared" si="3"/>
        <v>-1.178032575437602</v>
      </c>
      <c r="F31">
        <f t="shared" si="3"/>
        <v>-33.51920645810457</v>
      </c>
      <c r="G31">
        <f t="shared" si="3"/>
        <v>12.556178617548635</v>
      </c>
      <c r="H31">
        <f t="shared" si="3"/>
        <v>-35.814010835456763</v>
      </c>
      <c r="I31">
        <f t="shared" si="3"/>
        <v>28.012386748043991</v>
      </c>
      <c r="J31">
        <f t="shared" si="3"/>
        <v>9.5920077168465916</v>
      </c>
      <c r="K31">
        <f t="shared" si="3"/>
        <v>4.073093501714947</v>
      </c>
      <c r="L31">
        <f t="shared" si="3"/>
        <v>13.498960328696551</v>
      </c>
      <c r="M31">
        <f t="shared" si="3"/>
        <v>1.2609697183540436</v>
      </c>
      <c r="N31">
        <f t="shared" si="3"/>
        <v>-8.7341681011553085</v>
      </c>
      <c r="O31">
        <f t="shared" si="3"/>
        <v>-19.923854693340576</v>
      </c>
    </row>
    <row r="32" spans="1:15">
      <c r="A32" s="14">
        <v>31</v>
      </c>
      <c r="B32">
        <v>11.475118681608706</v>
      </c>
      <c r="C32">
        <f t="shared" si="0"/>
        <v>7.8987132958178954</v>
      </c>
      <c r="D32">
        <f t="shared" si="2"/>
        <v>-18.891727071445718</v>
      </c>
      <c r="E32">
        <f t="shared" si="3"/>
        <v>6.7631155388092274</v>
      </c>
      <c r="F32">
        <f t="shared" si="3"/>
        <v>-1.178032575437602</v>
      </c>
      <c r="G32">
        <f t="shared" si="3"/>
        <v>-33.51920645810457</v>
      </c>
      <c r="H32">
        <f t="shared" si="3"/>
        <v>12.556178617548635</v>
      </c>
      <c r="I32">
        <f t="shared" si="3"/>
        <v>-35.814010835456763</v>
      </c>
      <c r="J32">
        <f t="shared" si="3"/>
        <v>28.012386748043991</v>
      </c>
      <c r="K32">
        <f t="shared" si="3"/>
        <v>9.5920077168465916</v>
      </c>
      <c r="L32">
        <f t="shared" si="3"/>
        <v>4.073093501714947</v>
      </c>
      <c r="M32">
        <f t="shared" si="3"/>
        <v>13.498960328696551</v>
      </c>
      <c r="N32">
        <f t="shared" si="3"/>
        <v>1.2609697183540436</v>
      </c>
      <c r="O32">
        <f t="shared" si="3"/>
        <v>-8.7341681011553085</v>
      </c>
    </row>
    <row r="33" spans="1:15">
      <c r="A33" s="14">
        <v>32</v>
      </c>
      <c r="B33">
        <v>-0.79375236821243789</v>
      </c>
      <c r="C33">
        <f t="shared" si="0"/>
        <v>-4.3701577540032481</v>
      </c>
      <c r="D33">
        <f t="shared" si="2"/>
        <v>7.8987132958178954</v>
      </c>
      <c r="E33">
        <f t="shared" si="3"/>
        <v>-18.891727071445718</v>
      </c>
      <c r="F33">
        <f t="shared" si="3"/>
        <v>6.7631155388092274</v>
      </c>
      <c r="G33">
        <f t="shared" si="3"/>
        <v>-1.178032575437602</v>
      </c>
      <c r="H33">
        <f t="shared" si="3"/>
        <v>-33.51920645810457</v>
      </c>
      <c r="I33">
        <f t="shared" si="3"/>
        <v>12.556178617548635</v>
      </c>
      <c r="J33">
        <f t="shared" si="3"/>
        <v>-35.814010835456763</v>
      </c>
      <c r="K33">
        <f t="shared" si="3"/>
        <v>28.012386748043991</v>
      </c>
      <c r="L33">
        <f t="shared" si="3"/>
        <v>9.5920077168465916</v>
      </c>
      <c r="M33">
        <f t="shared" si="3"/>
        <v>4.073093501714947</v>
      </c>
      <c r="N33">
        <f t="shared" si="3"/>
        <v>13.498960328696551</v>
      </c>
      <c r="O33">
        <f t="shared" si="3"/>
        <v>1.2609697183540436</v>
      </c>
    </row>
    <row r="34" spans="1:15">
      <c r="A34" s="14">
        <v>33</v>
      </c>
      <c r="B34">
        <v>6.0515754112326761</v>
      </c>
      <c r="C34">
        <f t="shared" si="0"/>
        <v>2.4751700254418654</v>
      </c>
      <c r="D34">
        <f t="shared" si="2"/>
        <v>-4.3701577540032481</v>
      </c>
      <c r="E34">
        <f t="shared" si="3"/>
        <v>7.8987132958178954</v>
      </c>
      <c r="F34">
        <f t="shared" si="3"/>
        <v>-18.891727071445718</v>
      </c>
      <c r="G34">
        <f t="shared" si="3"/>
        <v>6.7631155388092274</v>
      </c>
      <c r="H34">
        <f t="shared" si="3"/>
        <v>-1.178032575437602</v>
      </c>
      <c r="I34">
        <f t="shared" si="3"/>
        <v>-33.51920645810457</v>
      </c>
      <c r="J34">
        <f t="shared" si="3"/>
        <v>12.556178617548635</v>
      </c>
      <c r="K34">
        <f t="shared" si="3"/>
        <v>-35.814010835456763</v>
      </c>
      <c r="L34">
        <f t="shared" si="3"/>
        <v>28.012386748043991</v>
      </c>
      <c r="M34">
        <f t="shared" si="3"/>
        <v>9.5920077168465916</v>
      </c>
      <c r="N34">
        <f t="shared" si="3"/>
        <v>4.073093501714947</v>
      </c>
      <c r="O34">
        <f t="shared" si="3"/>
        <v>13.498960328696551</v>
      </c>
    </row>
    <row r="35" spans="1:15">
      <c r="A35" s="14">
        <v>34</v>
      </c>
      <c r="B35">
        <v>2.1732864092655859</v>
      </c>
      <c r="C35">
        <f t="shared" si="0"/>
        <v>-1.4031189765252248</v>
      </c>
      <c r="D35">
        <f t="shared" si="2"/>
        <v>2.4751700254418654</v>
      </c>
      <c r="E35">
        <f t="shared" ref="E35:O37" si="4">D34</f>
        <v>-4.3701577540032481</v>
      </c>
      <c r="F35">
        <f t="shared" si="4"/>
        <v>7.8987132958178954</v>
      </c>
      <c r="G35">
        <f t="shared" si="4"/>
        <v>-18.891727071445718</v>
      </c>
      <c r="H35">
        <f t="shared" si="4"/>
        <v>6.7631155388092274</v>
      </c>
      <c r="I35">
        <f t="shared" si="4"/>
        <v>-1.178032575437602</v>
      </c>
      <c r="J35">
        <f t="shared" si="4"/>
        <v>-33.51920645810457</v>
      </c>
      <c r="K35">
        <f t="shared" si="4"/>
        <v>12.556178617548635</v>
      </c>
      <c r="L35">
        <f t="shared" si="4"/>
        <v>-35.814010835456763</v>
      </c>
      <c r="M35">
        <f t="shared" si="4"/>
        <v>28.012386748043991</v>
      </c>
      <c r="N35">
        <f t="shared" si="4"/>
        <v>9.5920077168465916</v>
      </c>
      <c r="O35">
        <f t="shared" si="4"/>
        <v>4.073093501714947</v>
      </c>
    </row>
    <row r="36" spans="1:15">
      <c r="A36" s="14">
        <v>35</v>
      </c>
      <c r="B36">
        <v>44.775090971893349</v>
      </c>
      <c r="C36">
        <f t="shared" si="0"/>
        <v>41.198685586102535</v>
      </c>
      <c r="D36">
        <f t="shared" si="2"/>
        <v>-1.4031189765252248</v>
      </c>
      <c r="E36">
        <f t="shared" si="4"/>
        <v>2.4751700254418654</v>
      </c>
      <c r="F36">
        <f t="shared" si="4"/>
        <v>-4.3701577540032481</v>
      </c>
      <c r="G36">
        <f t="shared" si="4"/>
        <v>7.8987132958178954</v>
      </c>
      <c r="H36">
        <f t="shared" si="4"/>
        <v>-18.891727071445718</v>
      </c>
      <c r="I36">
        <f t="shared" si="4"/>
        <v>6.7631155388092274</v>
      </c>
      <c r="J36">
        <f t="shared" si="4"/>
        <v>-1.178032575437602</v>
      </c>
      <c r="K36">
        <f t="shared" si="4"/>
        <v>-33.51920645810457</v>
      </c>
      <c r="L36">
        <f t="shared" si="4"/>
        <v>12.556178617548635</v>
      </c>
      <c r="M36">
        <f t="shared" si="4"/>
        <v>-35.814010835456763</v>
      </c>
      <c r="N36">
        <f t="shared" si="4"/>
        <v>28.012386748043991</v>
      </c>
      <c r="O36">
        <f t="shared" si="4"/>
        <v>9.5920077168465916</v>
      </c>
    </row>
    <row r="37" spans="1:15">
      <c r="A37" s="14">
        <v>36</v>
      </c>
      <c r="B37">
        <v>51.730500904076962</v>
      </c>
      <c r="C37">
        <f t="shared" si="0"/>
        <v>48.154095518286148</v>
      </c>
      <c r="D37">
        <f t="shared" si="2"/>
        <v>41.198685586102535</v>
      </c>
      <c r="E37">
        <f t="shared" si="4"/>
        <v>-1.4031189765252248</v>
      </c>
      <c r="F37">
        <f t="shared" si="4"/>
        <v>2.4751700254418654</v>
      </c>
      <c r="G37">
        <f t="shared" si="4"/>
        <v>-4.3701577540032481</v>
      </c>
      <c r="H37">
        <f t="shared" si="4"/>
        <v>7.8987132958178954</v>
      </c>
      <c r="I37">
        <f t="shared" si="4"/>
        <v>-18.891727071445718</v>
      </c>
      <c r="J37">
        <f t="shared" si="4"/>
        <v>6.7631155388092274</v>
      </c>
      <c r="K37">
        <f t="shared" si="4"/>
        <v>-1.178032575437602</v>
      </c>
      <c r="L37">
        <f t="shared" si="4"/>
        <v>-33.51920645810457</v>
      </c>
      <c r="M37">
        <f t="shared" si="4"/>
        <v>12.556178617548635</v>
      </c>
      <c r="N37">
        <f t="shared" si="4"/>
        <v>-35.814010835456763</v>
      </c>
      <c r="O37">
        <f t="shared" si="4"/>
        <v>28.012386748043991</v>
      </c>
    </row>
    <row r="38" spans="1:15">
      <c r="A38" s="22"/>
      <c r="B38">
        <f>AVERAGE(B2:B37)</f>
        <v>3.5764053857908107</v>
      </c>
      <c r="C38">
        <f>SUMPRODUCT($C2:$C37, C2:C37)</f>
        <v>13636.816508131702</v>
      </c>
      <c r="D38">
        <f t="shared" ref="D38:O38" si="5">SUMPRODUCT($C2:$C37, D2:D37)</f>
        <v>-474.06697262326975</v>
      </c>
      <c r="E38">
        <f t="shared" si="5"/>
        <v>753.36254909983847</v>
      </c>
      <c r="F38">
        <f t="shared" si="5"/>
        <v>-229.30698946040843</v>
      </c>
      <c r="G38">
        <f t="shared" si="5"/>
        <v>-2223.6417381818019</v>
      </c>
      <c r="H38">
        <f t="shared" si="5"/>
        <v>1544.282513839325</v>
      </c>
      <c r="I38">
        <f t="shared" si="5"/>
        <v>-2442.5314602954036</v>
      </c>
      <c r="J38">
        <f t="shared" si="5"/>
        <v>1790.523663893498</v>
      </c>
      <c r="K38">
        <f t="shared" si="5"/>
        <v>-4382.6092692652292</v>
      </c>
      <c r="L38">
        <f t="shared" si="5"/>
        <v>-167.70119604082515</v>
      </c>
      <c r="M38">
        <f t="shared" si="5"/>
        <v>-1460.418880585592</v>
      </c>
      <c r="N38">
        <f t="shared" si="5"/>
        <v>733.06272734448544</v>
      </c>
      <c r="O38">
        <f t="shared" si="5"/>
        <v>5512.8018500423677</v>
      </c>
    </row>
    <row r="39" spans="1:15">
      <c r="A39" s="22"/>
    </row>
    <row r="40" spans="1:15">
      <c r="A40" s="22"/>
      <c r="C40" t="s">
        <v>31</v>
      </c>
      <c r="D40">
        <f>D38/$C38</f>
        <v>-3.4763756800612611E-2</v>
      </c>
      <c r="E40">
        <f t="shared" ref="E40:O40" si="6">E38/$C38</f>
        <v>5.5244752222823018E-2</v>
      </c>
      <c r="F40">
        <f t="shared" si="6"/>
        <v>-1.6815287448039763E-2</v>
      </c>
      <c r="G40">
        <f t="shared" si="6"/>
        <v>-0.16306164542551652</v>
      </c>
      <c r="H40">
        <f t="shared" si="6"/>
        <v>0.11324362345995208</v>
      </c>
      <c r="I40">
        <f t="shared" si="6"/>
        <v>-0.17911302530461634</v>
      </c>
      <c r="J40">
        <f t="shared" si="6"/>
        <v>0.13130070811070896</v>
      </c>
      <c r="K40">
        <f t="shared" si="6"/>
        <v>-0.32138067316898028</v>
      </c>
      <c r="L40">
        <f t="shared" si="6"/>
        <v>-1.2297679296397666E-2</v>
      </c>
      <c r="M40">
        <f t="shared" si="6"/>
        <v>-0.10709382792638861</v>
      </c>
      <c r="N40">
        <f t="shared" si="6"/>
        <v>5.3756148064862237E-2</v>
      </c>
      <c r="O40">
        <f t="shared" si="6"/>
        <v>0.40425870999694513</v>
      </c>
    </row>
    <row r="41" spans="1:15">
      <c r="A41" s="22"/>
    </row>
    <row r="42" spans="1:15">
      <c r="A42" s="22"/>
      <c r="C42" t="s">
        <v>32</v>
      </c>
      <c r="D42">
        <f>2/SQRT(36)</f>
        <v>0.33333333333333331</v>
      </c>
      <c r="E42">
        <f t="shared" ref="E42:O42" si="7">2/SQRT(36)</f>
        <v>0.33333333333333331</v>
      </c>
      <c r="F42">
        <f t="shared" si="7"/>
        <v>0.33333333333333331</v>
      </c>
      <c r="G42">
        <f t="shared" si="7"/>
        <v>0.33333333333333331</v>
      </c>
      <c r="H42">
        <f t="shared" si="7"/>
        <v>0.33333333333333331</v>
      </c>
      <c r="I42">
        <f t="shared" si="7"/>
        <v>0.33333333333333331</v>
      </c>
      <c r="J42">
        <f t="shared" si="7"/>
        <v>0.33333333333333331</v>
      </c>
      <c r="K42">
        <f t="shared" si="7"/>
        <v>0.33333333333333331</v>
      </c>
      <c r="L42">
        <f t="shared" si="7"/>
        <v>0.33333333333333331</v>
      </c>
      <c r="M42">
        <f t="shared" si="7"/>
        <v>0.33333333333333331</v>
      </c>
      <c r="N42">
        <f t="shared" si="7"/>
        <v>0.33333333333333331</v>
      </c>
      <c r="O42">
        <f t="shared" si="7"/>
        <v>0.33333333333333331</v>
      </c>
    </row>
    <row r="43" spans="1:15">
      <c r="A43" s="22"/>
      <c r="C43" t="s">
        <v>33</v>
      </c>
      <c r="D43">
        <f>-2/SQRT(36)</f>
        <v>-0.33333333333333331</v>
      </c>
      <c r="E43">
        <f t="shared" ref="E43:O43" si="8">-2/SQRT(36)</f>
        <v>-0.33333333333333331</v>
      </c>
      <c r="F43">
        <f t="shared" si="8"/>
        <v>-0.33333333333333331</v>
      </c>
      <c r="G43">
        <f t="shared" si="8"/>
        <v>-0.33333333333333331</v>
      </c>
      <c r="H43">
        <f t="shared" si="8"/>
        <v>-0.33333333333333331</v>
      </c>
      <c r="I43">
        <f t="shared" si="8"/>
        <v>-0.33333333333333331</v>
      </c>
      <c r="J43">
        <f t="shared" si="8"/>
        <v>-0.33333333333333331</v>
      </c>
      <c r="K43">
        <f t="shared" si="8"/>
        <v>-0.33333333333333331</v>
      </c>
      <c r="L43">
        <f t="shared" si="8"/>
        <v>-0.33333333333333331</v>
      </c>
      <c r="M43">
        <f t="shared" si="8"/>
        <v>-0.33333333333333331</v>
      </c>
      <c r="N43">
        <f t="shared" si="8"/>
        <v>-0.33333333333333331</v>
      </c>
      <c r="O43">
        <f t="shared" si="8"/>
        <v>-0.33333333333333331</v>
      </c>
    </row>
    <row r="44" spans="1:15">
      <c r="A44" s="22"/>
    </row>
    <row r="45" spans="1:15">
      <c r="A45" s="22"/>
    </row>
    <row r="46" spans="1:15">
      <c r="A46" s="22"/>
    </row>
    <row r="47" spans="1:15">
      <c r="A47" s="22"/>
    </row>
    <row r="48" spans="1:15">
      <c r="A48" s="22"/>
    </row>
    <row r="49" spans="1:1">
      <c r="A49" s="22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5"/>
  <sheetViews>
    <sheetView workbookViewId="0">
      <selection activeCell="B7" sqref="B7"/>
    </sheetView>
  </sheetViews>
  <sheetFormatPr baseColWidth="10" defaultRowHeight="15" x14ac:dyDescent="0"/>
  <sheetData>
    <row r="2" spans="2:2">
      <c r="B2" t="s">
        <v>37</v>
      </c>
    </row>
    <row r="3" spans="2:2">
      <c r="B3" t="s">
        <v>38</v>
      </c>
    </row>
    <row r="4" spans="2:2">
      <c r="B4" t="s">
        <v>39</v>
      </c>
    </row>
    <row r="5" spans="2:2">
      <c r="B5" t="s">
        <v>40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7"/>
  <sheetViews>
    <sheetView workbookViewId="0">
      <pane ySplit="1" topLeftCell="A2" activePane="bottomLeft" state="frozen"/>
      <selection pane="bottomLeft" activeCell="E2" sqref="E2:E13"/>
    </sheetView>
  </sheetViews>
  <sheetFormatPr baseColWidth="10" defaultRowHeight="15" x14ac:dyDescent="0"/>
  <cols>
    <col min="3" max="3" width="12.5" style="2" bestFit="1" customWidth="1"/>
    <col min="4" max="5" width="10.83203125" style="2"/>
    <col min="6" max="6" width="10.83203125" style="23"/>
    <col min="7" max="7" width="15.1640625" customWidth="1"/>
    <col min="8" max="8" width="16.33203125" style="2" customWidth="1"/>
    <col min="9" max="9" width="13.5" customWidth="1"/>
  </cols>
  <sheetData>
    <row r="1" spans="1:16" s="1" customFormat="1" ht="32" customHeight="1">
      <c r="A1" s="21" t="s">
        <v>1</v>
      </c>
      <c r="B1" s="21" t="s">
        <v>0</v>
      </c>
      <c r="C1" s="25" t="s">
        <v>41</v>
      </c>
      <c r="D1" s="26" t="s">
        <v>42</v>
      </c>
      <c r="E1" s="26" t="s">
        <v>43</v>
      </c>
      <c r="F1" s="27" t="s">
        <v>44</v>
      </c>
      <c r="G1" s="26" t="s">
        <v>45</v>
      </c>
      <c r="H1" s="29" t="s">
        <v>46</v>
      </c>
    </row>
    <row r="2" spans="1:16">
      <c r="A2" s="14">
        <v>1</v>
      </c>
      <c r="B2" s="14">
        <v>165</v>
      </c>
      <c r="C2" s="24"/>
      <c r="D2" s="24"/>
      <c r="E2" s="2">
        <f>AVERAGE(D14, D26)</f>
        <v>0.98823339924446252</v>
      </c>
      <c r="F2" s="23">
        <f>E2-1</f>
        <v>-1.1766600755537482E-2</v>
      </c>
      <c r="G2" s="2">
        <v>0.98823339924446252</v>
      </c>
      <c r="H2" s="2">
        <f>B2/G2</f>
        <v>166.96460585743006</v>
      </c>
    </row>
    <row r="3" spans="1:16">
      <c r="A3" s="14">
        <v>2</v>
      </c>
      <c r="B3" s="14">
        <v>171</v>
      </c>
      <c r="C3" s="24"/>
      <c r="D3" s="24"/>
      <c r="E3" s="2">
        <f t="shared" ref="E3:G7" si="0">AVERAGE(D15, D27)</f>
        <v>1.0394595142086607</v>
      </c>
      <c r="F3" s="23">
        <f t="shared" ref="F3:F30" si="1">E3-1</f>
        <v>3.9459514208660673E-2</v>
      </c>
      <c r="G3" s="2">
        <v>1.0394595142086607</v>
      </c>
      <c r="H3" s="2">
        <f t="shared" ref="H3:H37" si="2">B3/G3</f>
        <v>164.50857167840934</v>
      </c>
      <c r="O3" s="30" t="s">
        <v>47</v>
      </c>
      <c r="P3" s="30">
        <v>2.29</v>
      </c>
    </row>
    <row r="4" spans="1:16">
      <c r="A4" s="14">
        <v>3</v>
      </c>
      <c r="B4" s="14">
        <v>147</v>
      </c>
      <c r="C4" s="24"/>
      <c r="D4" s="24"/>
      <c r="E4" s="2">
        <f t="shared" si="0"/>
        <v>0.93293329171244777</v>
      </c>
      <c r="F4" s="23">
        <f t="shared" si="1"/>
        <v>-6.7066708287552235E-2</v>
      </c>
      <c r="G4" s="2">
        <v>0.93293329171244777</v>
      </c>
      <c r="H4" s="2">
        <f t="shared" si="2"/>
        <v>157.56753597052349</v>
      </c>
      <c r="O4" s="30" t="s">
        <v>48</v>
      </c>
      <c r="P4" s="30">
        <v>144.41999999999999</v>
      </c>
    </row>
    <row r="5" spans="1:16">
      <c r="A5" s="14">
        <v>4</v>
      </c>
      <c r="B5" s="14">
        <v>143</v>
      </c>
      <c r="C5" s="24"/>
      <c r="D5" s="24"/>
      <c r="E5" s="2">
        <f t="shared" si="0"/>
        <v>0.91259775591054715</v>
      </c>
      <c r="F5" s="23">
        <f t="shared" si="1"/>
        <v>-8.7402244089452852E-2</v>
      </c>
      <c r="G5" s="2">
        <v>0.91259775591054715</v>
      </c>
      <c r="H5" s="2">
        <f t="shared" si="2"/>
        <v>156.69554201053379</v>
      </c>
    </row>
    <row r="6" spans="1:16">
      <c r="A6" s="14">
        <v>5</v>
      </c>
      <c r="B6" s="14">
        <v>164</v>
      </c>
      <c r="C6" s="24"/>
      <c r="D6" s="24"/>
      <c r="E6" s="2">
        <f t="shared" si="0"/>
        <v>1.0430106047420362</v>
      </c>
      <c r="F6" s="23">
        <f t="shared" si="1"/>
        <v>4.3010604742036218E-2</v>
      </c>
      <c r="G6" s="2">
        <v>1.0430106047420362</v>
      </c>
      <c r="H6" s="2">
        <f t="shared" si="2"/>
        <v>157.23713570540491</v>
      </c>
    </row>
    <row r="7" spans="1:16">
      <c r="A7" s="14">
        <v>6</v>
      </c>
      <c r="B7" s="14">
        <v>160</v>
      </c>
      <c r="C7" s="24"/>
      <c r="D7" s="24"/>
      <c r="E7" s="2">
        <f t="shared" si="0"/>
        <v>0.90644245153667458</v>
      </c>
      <c r="F7" s="23">
        <f t="shared" si="1"/>
        <v>-9.3557548463325424E-2</v>
      </c>
      <c r="G7" s="2">
        <v>0.90644245153667458</v>
      </c>
      <c r="H7" s="2">
        <f t="shared" si="2"/>
        <v>176.5142395181901</v>
      </c>
    </row>
    <row r="8" spans="1:16">
      <c r="A8" s="14">
        <v>7</v>
      </c>
      <c r="B8" s="14">
        <v>152</v>
      </c>
      <c r="C8" s="6">
        <f>(AVERAGE(B3:B14)+AVERAGE(B2:B13))/2</f>
        <v>163.16666666666669</v>
      </c>
      <c r="D8" s="2">
        <f>B8/C8</f>
        <v>0.93156281920326856</v>
      </c>
      <c r="E8" s="2">
        <f>AVERAGE(D8, D20)</f>
        <v>0.92083758937691518</v>
      </c>
      <c r="F8" s="23">
        <f t="shared" si="1"/>
        <v>-7.9162410623084822E-2</v>
      </c>
      <c r="G8" s="2">
        <v>0.92083758937691518</v>
      </c>
      <c r="H8" s="2">
        <f t="shared" si="2"/>
        <v>165.06711037160289</v>
      </c>
    </row>
    <row r="9" spans="1:16">
      <c r="A9" s="14">
        <v>8</v>
      </c>
      <c r="B9" s="14">
        <v>150</v>
      </c>
      <c r="C9" s="6">
        <f t="shared" ref="C9:C31" si="3">(AVERAGE(B4:B15)+AVERAGE(B3:B14))/2</f>
        <v>163.125</v>
      </c>
      <c r="D9" s="2">
        <f t="shared" ref="D9:D31" si="4">B9/C9</f>
        <v>0.91954022988505746</v>
      </c>
      <c r="E9" s="2">
        <f>AVERAGE(D9, D21)</f>
        <v>0.92662094367181047</v>
      </c>
      <c r="F9" s="23">
        <f t="shared" si="1"/>
        <v>-7.3379056328189529E-2</v>
      </c>
      <c r="G9" s="2">
        <v>0.92662094367181047</v>
      </c>
      <c r="H9" s="2">
        <f t="shared" si="2"/>
        <v>161.87849090223762</v>
      </c>
    </row>
    <row r="10" spans="1:16">
      <c r="A10" s="14">
        <v>9</v>
      </c>
      <c r="B10" s="14">
        <v>159</v>
      </c>
      <c r="C10" s="6">
        <f t="shared" si="3"/>
        <v>163.54166666666666</v>
      </c>
      <c r="D10" s="2">
        <f t="shared" si="4"/>
        <v>0.97222929936305735</v>
      </c>
      <c r="E10" s="2">
        <f>AVERAGE(D10, D22)</f>
        <v>0.98849075287229571</v>
      </c>
      <c r="F10" s="23">
        <f t="shared" si="1"/>
        <v>-1.1509247127704292E-2</v>
      </c>
      <c r="G10" s="2">
        <v>0.98849075287229571</v>
      </c>
      <c r="H10" s="2">
        <f t="shared" si="2"/>
        <v>160.85127709893854</v>
      </c>
    </row>
    <row r="11" spans="1:16">
      <c r="A11" s="14">
        <v>10</v>
      </c>
      <c r="B11" s="14">
        <v>169</v>
      </c>
      <c r="C11" s="6">
        <f t="shared" si="3"/>
        <v>164.33333333333331</v>
      </c>
      <c r="D11" s="2">
        <f t="shared" si="4"/>
        <v>1.028397565922921</v>
      </c>
      <c r="E11" s="2">
        <f>AVERAGE(D11, D23)</f>
        <v>1.0162014531884298</v>
      </c>
      <c r="F11" s="23">
        <f t="shared" si="1"/>
        <v>1.6201453188429804E-2</v>
      </c>
      <c r="G11" s="2">
        <v>1.0162014531884298</v>
      </c>
      <c r="H11" s="2">
        <f t="shared" si="2"/>
        <v>166.30560748535268</v>
      </c>
    </row>
    <row r="12" spans="1:16">
      <c r="A12" s="14">
        <v>11</v>
      </c>
      <c r="B12" s="14">
        <v>173</v>
      </c>
      <c r="C12" s="6">
        <f t="shared" si="3"/>
        <v>165.5</v>
      </c>
      <c r="D12" s="2">
        <f t="shared" si="4"/>
        <v>1.0453172205438066</v>
      </c>
      <c r="E12" s="2">
        <f>AVERAGE(D12, D24)</f>
        <v>1.0480526558060541</v>
      </c>
      <c r="F12" s="23">
        <f t="shared" si="1"/>
        <v>4.8052655806054112E-2</v>
      </c>
      <c r="G12" s="2">
        <v>1.0480526558060541</v>
      </c>
      <c r="H12" s="2">
        <f t="shared" si="2"/>
        <v>165.06804218433683</v>
      </c>
    </row>
    <row r="13" spans="1:16">
      <c r="A13" s="14">
        <v>12</v>
      </c>
      <c r="B13" s="14">
        <v>203</v>
      </c>
      <c r="C13" s="6">
        <f t="shared" si="3"/>
        <v>166.54166666666669</v>
      </c>
      <c r="D13" s="2">
        <f t="shared" si="4"/>
        <v>1.2189141856392294</v>
      </c>
      <c r="E13" s="2">
        <f>AVERAGE(D13, D25)</f>
        <v>1.2040049076184032</v>
      </c>
      <c r="F13" s="23">
        <f t="shared" si="1"/>
        <v>0.20400490761840318</v>
      </c>
      <c r="G13" s="2">
        <v>1.2040049076184032</v>
      </c>
      <c r="H13" s="2">
        <f t="shared" si="2"/>
        <v>168.60396391701315</v>
      </c>
    </row>
    <row r="14" spans="1:16">
      <c r="A14" s="14">
        <v>13</v>
      </c>
      <c r="B14" s="14">
        <v>169</v>
      </c>
      <c r="C14" s="6">
        <f t="shared" si="3"/>
        <v>167</v>
      </c>
      <c r="D14" s="2">
        <f t="shared" si="4"/>
        <v>1.0119760479041917</v>
      </c>
      <c r="G14" s="2">
        <v>0.98823339924446252</v>
      </c>
      <c r="H14" s="2">
        <f t="shared" si="2"/>
        <v>171.01223266609503</v>
      </c>
    </row>
    <row r="15" spans="1:16">
      <c r="A15" s="14">
        <v>14</v>
      </c>
      <c r="B15" s="14">
        <v>166</v>
      </c>
      <c r="C15" s="6">
        <f t="shared" si="3"/>
        <v>168.20833333333331</v>
      </c>
      <c r="D15" s="2">
        <f t="shared" si="4"/>
        <v>0.98687143918751563</v>
      </c>
      <c r="G15" s="2">
        <v>1.0394595142086607</v>
      </c>
      <c r="H15" s="2">
        <f t="shared" si="2"/>
        <v>159.69837952406988</v>
      </c>
    </row>
    <row r="16" spans="1:16">
      <c r="A16" s="14">
        <v>15</v>
      </c>
      <c r="B16" s="14">
        <v>162</v>
      </c>
      <c r="C16" s="6">
        <f t="shared" si="3"/>
        <v>170.08333333333331</v>
      </c>
      <c r="D16" s="2">
        <f t="shared" si="4"/>
        <v>0.95247427731504175</v>
      </c>
      <c r="G16" s="2">
        <v>0.93293329171244777</v>
      </c>
      <c r="H16" s="2">
        <f t="shared" si="2"/>
        <v>173.64585596751567</v>
      </c>
    </row>
    <row r="17" spans="1:8">
      <c r="A17" s="14">
        <v>16</v>
      </c>
      <c r="B17" s="14">
        <v>147</v>
      </c>
      <c r="C17" s="6">
        <f t="shared" si="3"/>
        <v>171.95833333333331</v>
      </c>
      <c r="D17" s="2">
        <f t="shared" si="4"/>
        <v>0.85485825054519027</v>
      </c>
      <c r="G17" s="2">
        <v>0.91259775591054715</v>
      </c>
      <c r="H17" s="2">
        <f t="shared" si="2"/>
        <v>161.07863409474453</v>
      </c>
    </row>
    <row r="18" spans="1:8">
      <c r="A18" s="14">
        <v>17</v>
      </c>
      <c r="B18" s="14">
        <v>188</v>
      </c>
      <c r="C18" s="6">
        <f t="shared" si="3"/>
        <v>173.875</v>
      </c>
      <c r="D18" s="2">
        <f t="shared" si="4"/>
        <v>1.081236520488857</v>
      </c>
      <c r="G18" s="2">
        <v>1.0430106047420362</v>
      </c>
      <c r="H18" s="2">
        <f t="shared" si="2"/>
        <v>180.24744824765929</v>
      </c>
    </row>
    <row r="19" spans="1:8">
      <c r="A19" s="14">
        <v>18</v>
      </c>
      <c r="B19" s="14">
        <v>161</v>
      </c>
      <c r="C19" s="6">
        <f t="shared" si="3"/>
        <v>176.08333333333331</v>
      </c>
      <c r="D19" s="2">
        <f t="shared" si="4"/>
        <v>0.91433980123047809</v>
      </c>
      <c r="G19" s="2">
        <v>0.90644245153667458</v>
      </c>
      <c r="H19" s="2">
        <f t="shared" si="2"/>
        <v>177.61745351517879</v>
      </c>
    </row>
    <row r="20" spans="1:8">
      <c r="A20" s="14">
        <v>19</v>
      </c>
      <c r="B20" s="14">
        <v>162</v>
      </c>
      <c r="C20" s="6">
        <f t="shared" si="3"/>
        <v>178</v>
      </c>
      <c r="D20" s="2">
        <f t="shared" si="4"/>
        <v>0.9101123595505618</v>
      </c>
      <c r="G20" s="2">
        <v>0.92083758937691518</v>
      </c>
      <c r="H20" s="2">
        <f t="shared" si="2"/>
        <v>175.92678868552414</v>
      </c>
    </row>
    <row r="21" spans="1:8">
      <c r="A21" s="14">
        <v>20</v>
      </c>
      <c r="B21" s="14">
        <v>169</v>
      </c>
      <c r="C21" s="6">
        <f t="shared" si="3"/>
        <v>181</v>
      </c>
      <c r="D21" s="2">
        <f t="shared" si="4"/>
        <v>0.93370165745856348</v>
      </c>
      <c r="G21" s="2">
        <v>0.92662094367181047</v>
      </c>
      <c r="H21" s="2">
        <f t="shared" si="2"/>
        <v>182.38309974985438</v>
      </c>
    </row>
    <row r="22" spans="1:8">
      <c r="A22" s="14">
        <v>21</v>
      </c>
      <c r="B22" s="14">
        <v>185</v>
      </c>
      <c r="C22" s="6">
        <f t="shared" si="3"/>
        <v>184.125</v>
      </c>
      <c r="D22" s="2">
        <f t="shared" si="4"/>
        <v>1.0047522063815342</v>
      </c>
      <c r="G22" s="2">
        <v>0.98849075287229571</v>
      </c>
      <c r="H22" s="2">
        <f t="shared" si="2"/>
        <v>187.15400165599766</v>
      </c>
    </row>
    <row r="23" spans="1:8">
      <c r="A23" s="14">
        <v>22</v>
      </c>
      <c r="B23" s="14">
        <v>188</v>
      </c>
      <c r="C23" s="6">
        <f t="shared" si="3"/>
        <v>187.25</v>
      </c>
      <c r="D23" s="2">
        <f t="shared" si="4"/>
        <v>1.0040053404539386</v>
      </c>
      <c r="G23" s="2">
        <v>1.0162014531884298</v>
      </c>
      <c r="H23" s="2">
        <f t="shared" si="2"/>
        <v>185.00268761684202</v>
      </c>
    </row>
    <row r="24" spans="1:8">
      <c r="A24" s="14">
        <v>23</v>
      </c>
      <c r="B24" s="14">
        <v>200</v>
      </c>
      <c r="C24" s="6">
        <f t="shared" si="3"/>
        <v>190.33333333333331</v>
      </c>
      <c r="D24" s="2">
        <f t="shared" si="4"/>
        <v>1.0507880910683014</v>
      </c>
      <c r="G24" s="2">
        <v>1.0480526558060541</v>
      </c>
      <c r="H24" s="2">
        <f t="shared" si="2"/>
        <v>190.83010657148768</v>
      </c>
    </row>
    <row r="25" spans="1:8">
      <c r="A25" s="14">
        <v>24</v>
      </c>
      <c r="B25" s="14">
        <v>229</v>
      </c>
      <c r="C25" s="6">
        <f t="shared" si="3"/>
        <v>192.58333333333331</v>
      </c>
      <c r="D25" s="2">
        <f t="shared" si="4"/>
        <v>1.189095629597577</v>
      </c>
      <c r="G25" s="2">
        <v>1.2040049076184032</v>
      </c>
      <c r="H25" s="2">
        <f t="shared" si="2"/>
        <v>190.19856028076853</v>
      </c>
    </row>
    <row r="26" spans="1:8">
      <c r="A26" s="14">
        <v>25</v>
      </c>
      <c r="B26" s="14">
        <v>189</v>
      </c>
      <c r="C26" s="6">
        <f t="shared" si="3"/>
        <v>195.95833333333331</v>
      </c>
      <c r="D26" s="2">
        <f t="shared" si="4"/>
        <v>0.96449075058473321</v>
      </c>
      <c r="G26" s="2">
        <v>0.98823339924446252</v>
      </c>
      <c r="H26" s="2">
        <f t="shared" si="2"/>
        <v>191.25036670941989</v>
      </c>
    </row>
    <row r="27" spans="1:8">
      <c r="A27" s="14">
        <v>26</v>
      </c>
      <c r="B27" s="14">
        <v>218</v>
      </c>
      <c r="C27" s="6">
        <f t="shared" si="3"/>
        <v>199.625</v>
      </c>
      <c r="D27" s="2">
        <f t="shared" si="4"/>
        <v>1.0920475892298058</v>
      </c>
      <c r="G27" s="2">
        <v>1.0394595142086607</v>
      </c>
      <c r="H27" s="2">
        <f t="shared" si="2"/>
        <v>209.72437792920022</v>
      </c>
    </row>
    <row r="28" spans="1:8">
      <c r="A28" s="14">
        <v>27</v>
      </c>
      <c r="B28" s="14">
        <v>185</v>
      </c>
      <c r="C28" s="6">
        <f t="shared" si="3"/>
        <v>202.54166666666669</v>
      </c>
      <c r="D28" s="2">
        <f t="shared" si="4"/>
        <v>0.91339230610985389</v>
      </c>
      <c r="G28" s="2">
        <v>0.93293329171244777</v>
      </c>
      <c r="H28" s="2">
        <f t="shared" si="2"/>
        <v>198.29927996290371</v>
      </c>
    </row>
    <row r="29" spans="1:8">
      <c r="A29" s="14">
        <v>28</v>
      </c>
      <c r="B29" s="14">
        <v>199</v>
      </c>
      <c r="C29" s="6">
        <f t="shared" si="3"/>
        <v>205.08333333333334</v>
      </c>
      <c r="D29" s="2">
        <f t="shared" si="4"/>
        <v>0.97033726127590403</v>
      </c>
      <c r="G29" s="2">
        <v>0.91259775591054715</v>
      </c>
      <c r="H29" s="2">
        <f t="shared" si="2"/>
        <v>218.0588311894841</v>
      </c>
    </row>
    <row r="30" spans="1:8">
      <c r="A30" s="14">
        <v>29</v>
      </c>
      <c r="B30" s="14">
        <v>210</v>
      </c>
      <c r="C30" s="6">
        <f t="shared" si="3"/>
        <v>209</v>
      </c>
      <c r="D30" s="2">
        <f t="shared" si="4"/>
        <v>1.0047846889952152</v>
      </c>
      <c r="G30" s="2">
        <v>1.0430106047420362</v>
      </c>
      <c r="H30" s="2">
        <f t="shared" si="2"/>
        <v>201.34023474472582</v>
      </c>
    </row>
    <row r="31" spans="1:8">
      <c r="A31" s="14">
        <v>30</v>
      </c>
      <c r="B31" s="14">
        <v>193</v>
      </c>
      <c r="C31" s="6">
        <f t="shared" si="3"/>
        <v>214.79166666666666</v>
      </c>
      <c r="D31" s="2">
        <f t="shared" si="4"/>
        <v>0.89854510184287106</v>
      </c>
      <c r="G31" s="2">
        <v>0.90644245153667458</v>
      </c>
      <c r="H31" s="2">
        <f t="shared" si="2"/>
        <v>212.92030141881682</v>
      </c>
    </row>
    <row r="32" spans="1:8">
      <c r="A32" s="14">
        <v>31</v>
      </c>
      <c r="B32" s="14">
        <v>211</v>
      </c>
      <c r="C32" s="24"/>
      <c r="D32" s="24"/>
      <c r="G32" s="2">
        <v>0.92083758937691518</v>
      </c>
      <c r="H32" s="2">
        <f t="shared" si="2"/>
        <v>229.13921242373823</v>
      </c>
    </row>
    <row r="33" spans="1:8">
      <c r="A33" s="14">
        <v>32</v>
      </c>
      <c r="B33" s="14">
        <v>208</v>
      </c>
      <c r="C33" s="24"/>
      <c r="D33" s="24"/>
      <c r="G33" s="2">
        <v>0.92662094367181047</v>
      </c>
      <c r="H33" s="2">
        <f t="shared" si="2"/>
        <v>224.47150738443617</v>
      </c>
    </row>
    <row r="34" spans="1:8">
      <c r="A34" s="14">
        <v>33</v>
      </c>
      <c r="B34" s="14">
        <v>216</v>
      </c>
      <c r="C34" s="24"/>
      <c r="D34" s="24"/>
      <c r="G34" s="2">
        <v>0.98849075287229571</v>
      </c>
      <c r="H34" s="2">
        <f t="shared" si="2"/>
        <v>218.51494247402968</v>
      </c>
    </row>
    <row r="35" spans="1:8">
      <c r="A35" s="14">
        <v>34</v>
      </c>
      <c r="B35" s="14">
        <v>218</v>
      </c>
      <c r="C35" s="24"/>
      <c r="D35" s="24"/>
      <c r="G35" s="2">
        <v>1.0162014531884298</v>
      </c>
      <c r="H35" s="2">
        <f t="shared" si="2"/>
        <v>214.5243930876147</v>
      </c>
    </row>
    <row r="36" spans="1:8">
      <c r="A36" s="14">
        <v>35</v>
      </c>
      <c r="B36" s="14">
        <v>264</v>
      </c>
      <c r="C36" s="24"/>
      <c r="D36" s="24"/>
      <c r="G36" s="2">
        <v>1.0480526558060541</v>
      </c>
      <c r="H36" s="2">
        <f t="shared" si="2"/>
        <v>251.89574067436374</v>
      </c>
    </row>
    <row r="37" spans="1:8">
      <c r="A37" s="14">
        <v>36</v>
      </c>
      <c r="B37" s="14">
        <v>304</v>
      </c>
      <c r="C37" s="24"/>
      <c r="D37" s="24"/>
      <c r="G37" s="2">
        <v>1.2040049076184032</v>
      </c>
      <c r="H37" s="2">
        <f t="shared" si="2"/>
        <v>252.49066517621674</v>
      </c>
    </row>
  </sheetData>
  <conditionalFormatting sqref="D8:D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workbookViewId="0">
      <pane ySplit="4" topLeftCell="A40" activePane="bottomLeft" state="frozen"/>
      <selection pane="bottomLeft" activeCell="B53" sqref="B53:B64"/>
    </sheetView>
  </sheetViews>
  <sheetFormatPr baseColWidth="10" defaultRowHeight="15" x14ac:dyDescent="0"/>
  <sheetData>
    <row r="1" spans="1:8" ht="81" customHeight="1">
      <c r="A1" s="1" t="s">
        <v>56</v>
      </c>
      <c r="C1" s="1" t="s">
        <v>53</v>
      </c>
      <c r="D1" s="1" t="s">
        <v>54</v>
      </c>
      <c r="E1" s="1" t="s">
        <v>55</v>
      </c>
      <c r="G1" s="1" t="s">
        <v>6</v>
      </c>
      <c r="H1" s="1" t="s">
        <v>7</v>
      </c>
    </row>
    <row r="2" spans="1:8">
      <c r="A2">
        <v>36</v>
      </c>
      <c r="C2">
        <v>0.3071306092987458</v>
      </c>
      <c r="D2">
        <v>0.22882573119524233</v>
      </c>
      <c r="E2">
        <v>0</v>
      </c>
      <c r="G2">
        <f>SUM(H17:H52)</f>
        <v>3550.6646319059191</v>
      </c>
      <c r="H2">
        <f>SQRT(G2/(36-3))</f>
        <v>10.372844254906317</v>
      </c>
    </row>
    <row r="4" spans="1:8" ht="32" customHeight="1">
      <c r="A4" s="13" t="s">
        <v>1</v>
      </c>
      <c r="B4" s="13" t="s">
        <v>0</v>
      </c>
      <c r="C4" s="15" t="s">
        <v>49</v>
      </c>
      <c r="D4" s="15" t="s">
        <v>50</v>
      </c>
      <c r="E4" s="28" t="s">
        <v>51</v>
      </c>
      <c r="F4" s="28" t="s">
        <v>52</v>
      </c>
      <c r="G4" s="28" t="s">
        <v>4</v>
      </c>
      <c r="H4" s="28" t="s">
        <v>5</v>
      </c>
    </row>
    <row r="5" spans="1:8" s="31" customFormat="1">
      <c r="A5" s="32">
        <v>-11</v>
      </c>
      <c r="B5" s="32"/>
      <c r="C5" s="33"/>
      <c r="D5" s="33"/>
      <c r="E5" s="33">
        <v>0.98823339924446252</v>
      </c>
    </row>
    <row r="6" spans="1:8" s="31" customFormat="1">
      <c r="A6" s="32">
        <v>-10</v>
      </c>
      <c r="B6" s="32"/>
      <c r="C6" s="33"/>
      <c r="D6" s="33"/>
      <c r="E6" s="33">
        <v>1.0394595142086607</v>
      </c>
    </row>
    <row r="7" spans="1:8" s="31" customFormat="1">
      <c r="A7" s="32">
        <v>-9</v>
      </c>
      <c r="B7" s="32"/>
      <c r="C7" s="33"/>
      <c r="D7" s="33"/>
      <c r="E7" s="33">
        <v>0.93293329171244777</v>
      </c>
    </row>
    <row r="8" spans="1:8" s="31" customFormat="1">
      <c r="A8" s="32">
        <v>-8</v>
      </c>
      <c r="B8" s="32"/>
      <c r="C8" s="33"/>
      <c r="D8" s="33"/>
      <c r="E8" s="33">
        <v>0.91259775591054715</v>
      </c>
    </row>
    <row r="9" spans="1:8" s="31" customFormat="1">
      <c r="A9" s="32">
        <v>-7</v>
      </c>
      <c r="B9" s="32"/>
      <c r="C9" s="33"/>
      <c r="D9" s="33"/>
      <c r="E9" s="33">
        <v>1.0430106047420362</v>
      </c>
    </row>
    <row r="10" spans="1:8" s="31" customFormat="1">
      <c r="A10" s="32">
        <v>-6</v>
      </c>
      <c r="B10" s="32"/>
      <c r="C10" s="33"/>
      <c r="D10" s="33"/>
      <c r="E10" s="33">
        <v>0.90644245153667458</v>
      </c>
    </row>
    <row r="11" spans="1:8" s="31" customFormat="1">
      <c r="A11" s="32">
        <v>-5</v>
      </c>
      <c r="B11" s="32"/>
      <c r="C11" s="33"/>
      <c r="D11" s="33"/>
      <c r="E11" s="33">
        <v>0.92083758937691518</v>
      </c>
    </row>
    <row r="12" spans="1:8" s="31" customFormat="1">
      <c r="A12" s="32">
        <v>-4</v>
      </c>
      <c r="B12" s="32"/>
      <c r="C12" s="33"/>
      <c r="D12" s="33"/>
      <c r="E12" s="33">
        <v>0.92662094367181047</v>
      </c>
    </row>
    <row r="13" spans="1:8" s="31" customFormat="1">
      <c r="A13" s="32">
        <v>-3</v>
      </c>
      <c r="B13" s="32"/>
      <c r="C13" s="33"/>
      <c r="D13" s="33"/>
      <c r="E13" s="33">
        <v>0.98849075287229571</v>
      </c>
    </row>
    <row r="14" spans="1:8" s="31" customFormat="1">
      <c r="A14" s="32">
        <v>-2</v>
      </c>
      <c r="B14" s="32"/>
      <c r="C14" s="33"/>
      <c r="D14" s="33"/>
      <c r="E14" s="33">
        <v>1.0162014531884298</v>
      </c>
    </row>
    <row r="15" spans="1:8" s="31" customFormat="1">
      <c r="A15" s="32">
        <v>-1</v>
      </c>
      <c r="B15" s="32"/>
      <c r="C15" s="33"/>
      <c r="D15" s="33"/>
      <c r="E15" s="33">
        <v>1.0480526558060541</v>
      </c>
    </row>
    <row r="16" spans="1:8" s="31" customFormat="1">
      <c r="A16" s="32">
        <v>0</v>
      </c>
      <c r="B16" s="32"/>
      <c r="C16" s="33">
        <v>144.41999999999999</v>
      </c>
      <c r="D16" s="33">
        <v>2.2094999999999998</v>
      </c>
      <c r="E16" s="33">
        <v>1.2040049076184032</v>
      </c>
    </row>
    <row r="17" spans="1:8">
      <c r="A17" s="14">
        <v>1</v>
      </c>
      <c r="B17" s="14">
        <v>165</v>
      </c>
      <c r="C17">
        <f>C16+D16+C$2*G17/E5</f>
        <v>152.87503345214697</v>
      </c>
      <c r="D17">
        <f>D16+D$2*C$2*G17/E5</f>
        <v>3.638638758891882</v>
      </c>
      <c r="E17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>
      <c r="A18" s="14">
        <v>2</v>
      </c>
      <c r="B18" s="14">
        <v>171</v>
      </c>
      <c r="C18">
        <f t="shared" ref="C18:C52" si="0">C17+D17+C$2*G18/E6</f>
        <v>158.96915055573456</v>
      </c>
      <c r="D18">
        <f t="shared" ref="D18:D52" si="1">D17+D$2*C$2*G18/E6</f>
        <v>4.2005153865509621</v>
      </c>
      <c r="E18">
        <f t="shared" ref="E18:E52" si="2">E6+E$2*(1-C$2)*G18/(C17+D17)</f>
        <v>1.0394595142086607</v>
      </c>
      <c r="F18">
        <f t="shared" ref="F18:F52" si="3">(C17+D17)*E6</f>
        <v>162.6896256835</v>
      </c>
      <c r="G18">
        <f t="shared" ref="G18:G52" si="4">B18-F18</f>
        <v>8.3103743165000026</v>
      </c>
      <c r="H18">
        <f t="shared" ref="H18:H52" si="5">G18^2</f>
        <v>69.062321280342886</v>
      </c>
    </row>
    <row r="19" spans="1:8">
      <c r="A19" s="14">
        <v>3</v>
      </c>
      <c r="B19" s="14">
        <v>147</v>
      </c>
      <c r="C19">
        <f t="shared" si="0"/>
        <v>161.4490803506875</v>
      </c>
      <c r="D19">
        <f t="shared" si="1"/>
        <v>3.8068011304695428</v>
      </c>
      <c r="E19">
        <f t="shared" si="2"/>
        <v>0.93293329171244777</v>
      </c>
      <c r="F19">
        <f t="shared" si="3"/>
        <v>152.22641355515691</v>
      </c>
      <c r="G19">
        <f t="shared" si="4"/>
        <v>-5.2264135551569098</v>
      </c>
      <c r="H19">
        <f t="shared" si="5"/>
        <v>27.315398649527889</v>
      </c>
    </row>
    <row r="20" spans="1:8">
      <c r="A20" s="14">
        <v>4</v>
      </c>
      <c r="B20" s="14">
        <v>143</v>
      </c>
      <c r="C20">
        <f t="shared" si="0"/>
        <v>162.62673920374041</v>
      </c>
      <c r="D20">
        <f t="shared" si="1"/>
        <v>3.2051857264233585</v>
      </c>
      <c r="E20">
        <f t="shared" si="2"/>
        <v>0.91259775591054715</v>
      </c>
      <c r="F20">
        <f t="shared" si="3"/>
        <v>150.81214659072327</v>
      </c>
      <c r="G20">
        <f t="shared" si="4"/>
        <v>-7.8121465907232732</v>
      </c>
      <c r="H20">
        <f t="shared" si="5"/>
        <v>61.029634354949259</v>
      </c>
    </row>
    <row r="21" spans="1:8">
      <c r="A21" s="14">
        <v>5</v>
      </c>
      <c r="B21" s="14">
        <v>164</v>
      </c>
      <c r="C21">
        <f t="shared" si="0"/>
        <v>163.1922020787693</v>
      </c>
      <c r="D21">
        <f t="shared" si="1"/>
        <v>2.6011492148002247</v>
      </c>
      <c r="E21">
        <f t="shared" si="2"/>
        <v>1.0430106047420362</v>
      </c>
      <c r="F21">
        <f t="shared" si="3"/>
        <v>172.96445630694609</v>
      </c>
      <c r="G21">
        <f t="shared" si="4"/>
        <v>-8.9644563069460901</v>
      </c>
      <c r="H21">
        <f t="shared" si="5"/>
        <v>80.361476879145528</v>
      </c>
    </row>
    <row r="22" spans="1:8">
      <c r="A22" s="14">
        <v>6</v>
      </c>
      <c r="B22" s="14">
        <v>160</v>
      </c>
      <c r="C22">
        <f t="shared" si="0"/>
        <v>169.086064226221</v>
      </c>
      <c r="D22">
        <f t="shared" si="1"/>
        <v>3.3546066592302286</v>
      </c>
      <c r="E22">
        <f t="shared" si="2"/>
        <v>0.90644245153667458</v>
      </c>
      <c r="F22">
        <f t="shared" si="3"/>
        <v>150.28213179502424</v>
      </c>
      <c r="G22">
        <f t="shared" si="4"/>
        <v>9.7178682049757583</v>
      </c>
      <c r="H22">
        <f t="shared" si="5"/>
        <v>94.436962449278766</v>
      </c>
    </row>
    <row r="23" spans="1:8">
      <c r="A23" s="14">
        <v>7</v>
      </c>
      <c r="B23" s="14">
        <v>152</v>
      </c>
      <c r="C23">
        <f t="shared" si="0"/>
        <v>170.17602475213181</v>
      </c>
      <c r="D23">
        <f t="shared" si="1"/>
        <v>2.8363973518749366</v>
      </c>
      <c r="E23">
        <f t="shared" si="2"/>
        <v>0.92083758937691518</v>
      </c>
      <c r="F23">
        <f t="shared" si="3"/>
        <v>158.7898516886969</v>
      </c>
      <c r="G23">
        <f t="shared" si="4"/>
        <v>-6.7898516886968991</v>
      </c>
      <c r="H23">
        <f t="shared" si="5"/>
        <v>46.102085954500133</v>
      </c>
    </row>
    <row r="24" spans="1:8">
      <c r="A24" s="14">
        <v>8</v>
      </c>
      <c r="B24" s="14">
        <v>150</v>
      </c>
      <c r="C24">
        <f t="shared" si="0"/>
        <v>169.59285103011709</v>
      </c>
      <c r="D24">
        <f t="shared" si="1"/>
        <v>2.0539115005180313</v>
      </c>
      <c r="E24">
        <f t="shared" si="2"/>
        <v>0.92662094367181047</v>
      </c>
      <c r="F24">
        <f t="shared" si="3"/>
        <v>160.31693383696035</v>
      </c>
      <c r="G24">
        <f t="shared" si="4"/>
        <v>-10.316933836960345</v>
      </c>
      <c r="H24">
        <f t="shared" si="5"/>
        <v>106.43912379621732</v>
      </c>
    </row>
    <row r="25" spans="1:8">
      <c r="A25" s="14">
        <v>9</v>
      </c>
      <c r="B25" s="14">
        <v>159</v>
      </c>
      <c r="C25">
        <f t="shared" si="0"/>
        <v>168.33113851232241</v>
      </c>
      <c r="D25">
        <f t="shared" si="1"/>
        <v>1.2952114101591179</v>
      </c>
      <c r="E25">
        <f t="shared" si="2"/>
        <v>0.98849075287229571</v>
      </c>
      <c r="F25">
        <f t="shared" si="3"/>
        <v>169.67123752199967</v>
      </c>
      <c r="G25">
        <f t="shared" si="4"/>
        <v>-10.671237521999672</v>
      </c>
      <c r="H25">
        <f t="shared" si="5"/>
        <v>113.87531025093369</v>
      </c>
    </row>
    <row r="26" spans="1:8">
      <c r="A26" s="14">
        <v>10</v>
      </c>
      <c r="B26" s="14">
        <v>169</v>
      </c>
      <c r="C26">
        <f t="shared" si="0"/>
        <v>168.60644827444193</v>
      </c>
      <c r="D26">
        <f t="shared" si="1"/>
        <v>1.0618316697992267</v>
      </c>
      <c r="E26">
        <f t="shared" si="2"/>
        <v>1.0162014531884298</v>
      </c>
      <c r="F26">
        <f t="shared" si="3"/>
        <v>172.37454329027483</v>
      </c>
      <c r="G26">
        <f t="shared" si="4"/>
        <v>-3.3745432902748291</v>
      </c>
      <c r="H26">
        <f t="shared" si="5"/>
        <v>11.387542417938869</v>
      </c>
    </row>
    <row r="27" spans="1:8">
      <c r="A27" s="14">
        <v>11</v>
      </c>
      <c r="B27" s="14">
        <v>173</v>
      </c>
      <c r="C27">
        <f t="shared" si="0"/>
        <v>168.25540611812264</v>
      </c>
      <c r="D27">
        <f t="shared" si="1"/>
        <v>0.73852978345103792</v>
      </c>
      <c r="E27">
        <f t="shared" si="2"/>
        <v>1.0480526558060541</v>
      </c>
      <c r="F27">
        <f t="shared" si="3"/>
        <v>177.82129140160703</v>
      </c>
      <c r="G27">
        <f t="shared" si="4"/>
        <v>-4.8212914016070272</v>
      </c>
      <c r="H27">
        <f t="shared" si="5"/>
        <v>23.244850779209852</v>
      </c>
    </row>
    <row r="28" spans="1:8">
      <c r="A28" s="14">
        <v>12</v>
      </c>
      <c r="B28" s="14">
        <v>203</v>
      </c>
      <c r="C28">
        <f t="shared" si="0"/>
        <v>168.87416356834618</v>
      </c>
      <c r="D28">
        <f t="shared" si="1"/>
        <v>0.7111227917232914</v>
      </c>
      <c r="E28">
        <f t="shared" si="2"/>
        <v>1.2040049076184032</v>
      </c>
      <c r="F28">
        <f t="shared" si="3"/>
        <v>203.46952818324456</v>
      </c>
      <c r="G28">
        <f t="shared" si="4"/>
        <v>-0.46952818324456302</v>
      </c>
      <c r="H28">
        <f t="shared" si="5"/>
        <v>0.22045671486093996</v>
      </c>
    </row>
    <row r="29" spans="1:8">
      <c r="A29" s="14">
        <v>13</v>
      </c>
      <c r="B29" s="14">
        <v>169</v>
      </c>
      <c r="C29">
        <f t="shared" si="0"/>
        <v>170.02354524847567</v>
      </c>
      <c r="D29">
        <f t="shared" si="1"/>
        <v>0.8114077023156594</v>
      </c>
      <c r="E29">
        <f t="shared" si="2"/>
        <v>0.98823339924446252</v>
      </c>
      <c r="F29">
        <f t="shared" si="3"/>
        <v>167.58984400145704</v>
      </c>
      <c r="G29">
        <f t="shared" si="4"/>
        <v>1.4101559985429617</v>
      </c>
      <c r="H29">
        <f t="shared" si="5"/>
        <v>1.9885399402266974</v>
      </c>
    </row>
    <row r="30" spans="1:8">
      <c r="A30" s="14">
        <v>14</v>
      </c>
      <c r="B30" s="14">
        <v>166</v>
      </c>
      <c r="C30">
        <f t="shared" si="0"/>
        <v>167.41457036874215</v>
      </c>
      <c r="D30">
        <f t="shared" si="1"/>
        <v>2.8736157010785912E-2</v>
      </c>
      <c r="E30">
        <f t="shared" si="2"/>
        <v>1.0394595142086607</v>
      </c>
      <c r="F30">
        <f t="shared" si="3"/>
        <v>177.57601720408894</v>
      </c>
      <c r="G30">
        <f t="shared" si="4"/>
        <v>-11.576017204088942</v>
      </c>
      <c r="H30">
        <f t="shared" si="5"/>
        <v>134.00417430936315</v>
      </c>
    </row>
    <row r="31" spans="1:8">
      <c r="A31" s="14">
        <v>15</v>
      </c>
      <c r="B31" s="14">
        <v>162</v>
      </c>
      <c r="C31">
        <f t="shared" si="0"/>
        <v>169.34829931500713</v>
      </c>
      <c r="D31">
        <f t="shared" si="1"/>
        <v>0.46464752493353867</v>
      </c>
      <c r="E31">
        <f t="shared" si="2"/>
        <v>0.93293329171244777</v>
      </c>
      <c r="F31">
        <f t="shared" si="3"/>
        <v>156.21343513228709</v>
      </c>
      <c r="G31">
        <f t="shared" si="4"/>
        <v>5.7865648677129116</v>
      </c>
      <c r="H31">
        <f t="shared" si="5"/>
        <v>33.484332968249348</v>
      </c>
    </row>
    <row r="32" spans="1:8">
      <c r="A32" s="14">
        <v>16</v>
      </c>
      <c r="B32" s="14">
        <v>147</v>
      </c>
      <c r="C32">
        <f t="shared" si="0"/>
        <v>167.13037204470277</v>
      </c>
      <c r="D32">
        <f t="shared" si="1"/>
        <v>-0.14919461407269918</v>
      </c>
      <c r="E32">
        <f t="shared" si="2"/>
        <v>0.91259775591054715</v>
      </c>
      <c r="F32">
        <f t="shared" si="3"/>
        <v>154.97091421068689</v>
      </c>
      <c r="G32">
        <f t="shared" si="4"/>
        <v>-7.9709142106868853</v>
      </c>
      <c r="H32">
        <f t="shared" si="5"/>
        <v>63.535473354130133</v>
      </c>
    </row>
    <row r="33" spans="1:8">
      <c r="A33" s="14">
        <v>17</v>
      </c>
      <c r="B33" s="14">
        <v>188</v>
      </c>
      <c r="C33">
        <f t="shared" si="0"/>
        <v>171.05565526978643</v>
      </c>
      <c r="D33">
        <f t="shared" si="1"/>
        <v>0.78315075671106638</v>
      </c>
      <c r="E33">
        <f t="shared" si="2"/>
        <v>1.0430106047420362</v>
      </c>
      <c r="F33">
        <f t="shared" si="3"/>
        <v>174.1631388524587</v>
      </c>
      <c r="G33">
        <f t="shared" si="4"/>
        <v>13.836861147541299</v>
      </c>
      <c r="H33">
        <f t="shared" si="5"/>
        <v>191.45872641633792</v>
      </c>
    </row>
    <row r="34" spans="1:8">
      <c r="A34" s="14">
        <v>18</v>
      </c>
      <c r="B34" s="14">
        <v>161</v>
      </c>
      <c r="C34">
        <f t="shared" si="0"/>
        <v>173.61360555061884</v>
      </c>
      <c r="D34">
        <f t="shared" si="1"/>
        <v>1.1892705555431018</v>
      </c>
      <c r="E34">
        <f t="shared" si="2"/>
        <v>0.90644245153667458</v>
      </c>
      <c r="F34">
        <f t="shared" si="3"/>
        <v>155.7619886037935</v>
      </c>
      <c r="G34">
        <f t="shared" si="4"/>
        <v>5.2380113962065025</v>
      </c>
      <c r="H34">
        <f t="shared" si="5"/>
        <v>27.436763386789192</v>
      </c>
    </row>
    <row r="35" spans="1:8">
      <c r="A35" s="14">
        <v>19</v>
      </c>
      <c r="B35" s="14">
        <v>162</v>
      </c>
      <c r="C35">
        <f t="shared" si="0"/>
        <v>175.14806406145996</v>
      </c>
      <c r="D35">
        <f t="shared" si="1"/>
        <v>1.2682584418139655</v>
      </c>
      <c r="E35">
        <f t="shared" si="2"/>
        <v>0.92083758937691518</v>
      </c>
      <c r="F35">
        <f t="shared" si="3"/>
        <v>160.96505904974973</v>
      </c>
      <c r="G35">
        <f t="shared" si="4"/>
        <v>1.0349409502502738</v>
      </c>
      <c r="H35">
        <f t="shared" si="5"/>
        <v>1.0711027705049396</v>
      </c>
    </row>
    <row r="36" spans="1:8">
      <c r="A36" s="14">
        <v>20</v>
      </c>
      <c r="B36" s="14">
        <v>169</v>
      </c>
      <c r="C36">
        <f t="shared" si="0"/>
        <v>178.24890243456608</v>
      </c>
      <c r="D36">
        <f t="shared" si="1"/>
        <v>1.6875998845656166</v>
      </c>
      <c r="E36">
        <f t="shared" si="2"/>
        <v>0.92662094367181047</v>
      </c>
      <c r="F36">
        <f t="shared" si="3"/>
        <v>163.47105923709415</v>
      </c>
      <c r="G36">
        <f t="shared" si="4"/>
        <v>5.5289407629058474</v>
      </c>
      <c r="H36">
        <f t="shared" si="5"/>
        <v>30.569185959721892</v>
      </c>
    </row>
    <row r="37" spans="1:8">
      <c r="A37" s="14">
        <v>21</v>
      </c>
      <c r="B37" s="14">
        <v>185</v>
      </c>
      <c r="C37">
        <f t="shared" si="0"/>
        <v>182.15321728807663</v>
      </c>
      <c r="D37">
        <f t="shared" si="1"/>
        <v>2.1948413081858806</v>
      </c>
      <c r="E37">
        <f t="shared" si="2"/>
        <v>0.98849075287229571</v>
      </c>
      <c r="F37">
        <f t="shared" si="3"/>
        <v>177.86556864664607</v>
      </c>
      <c r="G37">
        <f t="shared" si="4"/>
        <v>7.1344313533539321</v>
      </c>
      <c r="H37">
        <f t="shared" si="5"/>
        <v>50.900110735719622</v>
      </c>
    </row>
    <row r="38" spans="1:8">
      <c r="A38" s="14">
        <v>22</v>
      </c>
      <c r="B38" s="14">
        <v>188</v>
      </c>
      <c r="C38">
        <f t="shared" si="0"/>
        <v>184.54911520621775</v>
      </c>
      <c r="D38">
        <f t="shared" si="1"/>
        <v>2.2408482339705222</v>
      </c>
      <c r="E38">
        <f t="shared" si="2"/>
        <v>1.0162014531884298</v>
      </c>
      <c r="F38">
        <f t="shared" si="3"/>
        <v>187.33476503798778</v>
      </c>
      <c r="G38">
        <f t="shared" si="4"/>
        <v>0.66523496201222088</v>
      </c>
      <c r="H38">
        <f t="shared" si="5"/>
        <v>0.44253755468340095</v>
      </c>
    </row>
    <row r="39" spans="1:8">
      <c r="A39" s="14">
        <v>23</v>
      </c>
      <c r="B39" s="14">
        <v>200</v>
      </c>
      <c r="C39">
        <f t="shared" si="0"/>
        <v>188.0308150617584</v>
      </c>
      <c r="D39">
        <f t="shared" si="1"/>
        <v>2.5247870135811099</v>
      </c>
      <c r="E39">
        <f t="shared" si="2"/>
        <v>1.0480526558060541</v>
      </c>
      <c r="F39">
        <f t="shared" si="3"/>
        <v>195.76571726140506</v>
      </c>
      <c r="G39">
        <f t="shared" si="4"/>
        <v>4.234282738594942</v>
      </c>
      <c r="H39">
        <f t="shared" si="5"/>
        <v>17.929150310363081</v>
      </c>
    </row>
    <row r="40" spans="1:8">
      <c r="A40" s="14">
        <v>24</v>
      </c>
      <c r="B40" s="14">
        <v>229</v>
      </c>
      <c r="C40">
        <f t="shared" si="0"/>
        <v>190.44594361142782</v>
      </c>
      <c r="D40">
        <f t="shared" si="1"/>
        <v>2.4996943353947669</v>
      </c>
      <c r="E40">
        <f t="shared" si="2"/>
        <v>1.2040049076184032</v>
      </c>
      <c r="F40">
        <f t="shared" si="3"/>
        <v>229.42988007288835</v>
      </c>
      <c r="G40">
        <f t="shared" si="4"/>
        <v>-0.42988007288835206</v>
      </c>
      <c r="H40">
        <f t="shared" si="5"/>
        <v>0.18479687706649489</v>
      </c>
    </row>
    <row r="41" spans="1:8">
      <c r="A41" s="14">
        <v>25</v>
      </c>
      <c r="B41" s="14">
        <v>189</v>
      </c>
      <c r="C41">
        <f t="shared" si="0"/>
        <v>192.42496825875244</v>
      </c>
      <c r="D41">
        <f t="shared" si="1"/>
        <v>2.3805517133109206</v>
      </c>
      <c r="E41">
        <f t="shared" si="2"/>
        <v>0.98823339924446252</v>
      </c>
      <c r="F41">
        <f t="shared" si="3"/>
        <v>190.67532365757984</v>
      </c>
      <c r="G41">
        <f t="shared" si="4"/>
        <v>-1.6753236575798383</v>
      </c>
      <c r="H41">
        <f t="shared" si="5"/>
        <v>2.8067093576466871</v>
      </c>
    </row>
    <row r="42" spans="1:8">
      <c r="A42" s="14">
        <v>26</v>
      </c>
      <c r="B42" s="14">
        <v>218</v>
      </c>
      <c r="C42">
        <f t="shared" si="0"/>
        <v>199.38755790648025</v>
      </c>
      <c r="D42">
        <f t="shared" si="1"/>
        <v>3.4290398940182003</v>
      </c>
      <c r="E42">
        <f t="shared" si="2"/>
        <v>1.0394595142086607</v>
      </c>
      <c r="F42">
        <f t="shared" si="3"/>
        <v>202.49245115532653</v>
      </c>
      <c r="G42">
        <f t="shared" si="4"/>
        <v>15.507548844673465</v>
      </c>
      <c r="H42">
        <f t="shared" si="5"/>
        <v>240.48407116993332</v>
      </c>
    </row>
    <row r="43" spans="1:8">
      <c r="A43" s="14">
        <v>27</v>
      </c>
      <c r="B43" s="14">
        <v>185</v>
      </c>
      <c r="C43">
        <f t="shared" si="0"/>
        <v>201.42919122064188</v>
      </c>
      <c r="D43">
        <f t="shared" si="1"/>
        <v>3.111565568917432</v>
      </c>
      <c r="E43">
        <f t="shared" si="2"/>
        <v>0.93293329171244777</v>
      </c>
      <c r="F43">
        <f t="shared" si="3"/>
        <v>189.21435619993861</v>
      </c>
      <c r="G43">
        <f t="shared" si="4"/>
        <v>-4.2143561999386066</v>
      </c>
      <c r="H43">
        <f t="shared" si="5"/>
        <v>17.760798179960972</v>
      </c>
    </row>
    <row r="44" spans="1:8">
      <c r="A44" s="14">
        <v>28</v>
      </c>
      <c r="B44" s="14">
        <v>199</v>
      </c>
      <c r="C44">
        <f t="shared" si="0"/>
        <v>208.69257121655397</v>
      </c>
      <c r="D44">
        <f t="shared" si="1"/>
        <v>4.0616075409614441</v>
      </c>
      <c r="E44">
        <f t="shared" si="2"/>
        <v>0.91259775591054715</v>
      </c>
      <c r="F44">
        <f t="shared" si="3"/>
        <v>186.66343563839683</v>
      </c>
      <c r="G44">
        <f t="shared" si="4"/>
        <v>12.336564361603166</v>
      </c>
      <c r="H44">
        <f t="shared" si="5"/>
        <v>152.19082024797734</v>
      </c>
    </row>
    <row r="45" spans="1:8">
      <c r="A45" s="14">
        <v>29</v>
      </c>
      <c r="B45" s="14">
        <v>210</v>
      </c>
      <c r="C45">
        <f t="shared" si="0"/>
        <v>209.24860717836557</v>
      </c>
      <c r="D45">
        <f t="shared" si="1"/>
        <v>3.2594425611052222</v>
      </c>
      <c r="E45">
        <f t="shared" si="2"/>
        <v>1.0430106047420362</v>
      </c>
      <c r="F45">
        <f t="shared" si="3"/>
        <v>221.90486464727141</v>
      </c>
      <c r="G45">
        <f t="shared" si="4"/>
        <v>-11.90486464727141</v>
      </c>
      <c r="H45">
        <f t="shared" si="5"/>
        <v>141.72580226985264</v>
      </c>
    </row>
    <row r="46" spans="1:8">
      <c r="A46" s="14">
        <v>30</v>
      </c>
      <c r="B46" s="14">
        <v>193</v>
      </c>
      <c r="C46">
        <f t="shared" si="0"/>
        <v>212.63466484893277</v>
      </c>
      <c r="D46">
        <f t="shared" si="1"/>
        <v>3.2884153561082226</v>
      </c>
      <c r="E46">
        <f t="shared" si="2"/>
        <v>0.90644245153667458</v>
      </c>
      <c r="F46">
        <f t="shared" si="3"/>
        <v>192.6263175771235</v>
      </c>
      <c r="G46">
        <f t="shared" si="4"/>
        <v>0.37368242287649878</v>
      </c>
      <c r="H46">
        <f t="shared" si="5"/>
        <v>0.13963855316685045</v>
      </c>
    </row>
    <row r="47" spans="1:8">
      <c r="A47" s="14">
        <v>31</v>
      </c>
      <c r="B47" s="14">
        <v>211</v>
      </c>
      <c r="C47">
        <f t="shared" si="0"/>
        <v>219.98215894594227</v>
      </c>
      <c r="D47">
        <f t="shared" si="1"/>
        <v>4.2172370169740176</v>
      </c>
      <c r="E47">
        <f t="shared" si="2"/>
        <v>0.92083758937691518</v>
      </c>
      <c r="F47">
        <f t="shared" si="3"/>
        <v>198.83008866684827</v>
      </c>
      <c r="G47">
        <f t="shared" si="4"/>
        <v>12.169911333151731</v>
      </c>
      <c r="H47">
        <f t="shared" si="5"/>
        <v>148.10674185677493</v>
      </c>
    </row>
    <row r="48" spans="1:8">
      <c r="A48" s="14">
        <v>32</v>
      </c>
      <c r="B48" s="14">
        <v>208</v>
      </c>
      <c r="C48">
        <f t="shared" si="0"/>
        <v>224.28296970960483</v>
      </c>
      <c r="D48">
        <f t="shared" si="1"/>
        <v>4.2363608406687492</v>
      </c>
      <c r="E48">
        <f t="shared" si="2"/>
        <v>0.92662094367181047</v>
      </c>
      <c r="F48">
        <f t="shared" si="3"/>
        <v>207.74785585780739</v>
      </c>
      <c r="G48">
        <f t="shared" si="4"/>
        <v>0.25214414219260561</v>
      </c>
      <c r="H48">
        <f t="shared" si="5"/>
        <v>6.3576668442044917E-2</v>
      </c>
    </row>
    <row r="49" spans="1:8">
      <c r="A49" s="14">
        <v>33</v>
      </c>
      <c r="B49" s="14">
        <v>216</v>
      </c>
      <c r="C49">
        <f t="shared" si="0"/>
        <v>225.44667674475568</v>
      </c>
      <c r="D49">
        <f t="shared" si="1"/>
        <v>3.5332585869112743</v>
      </c>
      <c r="E49">
        <f t="shared" si="2"/>
        <v>0.98849075287229571</v>
      </c>
      <c r="F49">
        <f t="shared" si="3"/>
        <v>225.88924510151293</v>
      </c>
      <c r="G49">
        <f t="shared" si="4"/>
        <v>-9.8892451015129268</v>
      </c>
      <c r="H49">
        <f t="shared" si="5"/>
        <v>97.797168677797416</v>
      </c>
    </row>
    <row r="50" spans="1:8">
      <c r="A50" s="14">
        <v>34</v>
      </c>
      <c r="B50" s="14">
        <v>218</v>
      </c>
      <c r="C50">
        <f t="shared" si="0"/>
        <v>224.54019583450741</v>
      </c>
      <c r="D50">
        <f t="shared" si="1"/>
        <v>2.517331950157347</v>
      </c>
      <c r="E50">
        <f t="shared" si="2"/>
        <v>1.0162014531884298</v>
      </c>
      <c r="F50">
        <f t="shared" si="3"/>
        <v>232.68974303503265</v>
      </c>
      <c r="G50">
        <f t="shared" si="4"/>
        <v>-14.689743035032649</v>
      </c>
      <c r="H50">
        <f t="shared" si="5"/>
        <v>215.7885504352902</v>
      </c>
    </row>
    <row r="51" spans="1:8">
      <c r="A51" s="14">
        <v>35</v>
      </c>
      <c r="B51" s="14">
        <v>264</v>
      </c>
      <c r="C51">
        <f t="shared" si="0"/>
        <v>234.68610324336996</v>
      </c>
      <c r="D51">
        <f t="shared" si="1"/>
        <v>4.2629463074736478</v>
      </c>
      <c r="E51">
        <f t="shared" si="2"/>
        <v>1.0480526558060541</v>
      </c>
      <c r="F51">
        <f t="shared" si="3"/>
        <v>237.96824501547482</v>
      </c>
      <c r="G51">
        <f t="shared" si="4"/>
        <v>26.031754984525179</v>
      </c>
      <c r="H51">
        <f t="shared" si="5"/>
        <v>677.65226757435153</v>
      </c>
    </row>
    <row r="52" spans="1:8">
      <c r="A52" s="14">
        <v>36</v>
      </c>
      <c r="B52" s="14">
        <v>304</v>
      </c>
      <c r="C52">
        <f t="shared" si="0"/>
        <v>243.10809420875387</v>
      </c>
      <c r="D52">
        <f t="shared" si="1"/>
        <v>5.2146427423936332</v>
      </c>
      <c r="E52">
        <f t="shared" si="2"/>
        <v>1.2040049076184032</v>
      </c>
      <c r="F52">
        <f t="shared" si="3"/>
        <v>287.69582832996866</v>
      </c>
      <c r="G52">
        <f t="shared" si="4"/>
        <v>16.304171670031337</v>
      </c>
      <c r="H52">
        <f t="shared" si="5"/>
        <v>265.82601384585246</v>
      </c>
    </row>
    <row r="53" spans="1:8">
      <c r="A53" s="22">
        <v>37</v>
      </c>
      <c r="B53">
        <f>(C$52+(A53-A$52)*D$52)*E41</f>
        <v>245.40082244692098</v>
      </c>
    </row>
    <row r="54" spans="1:8">
      <c r="A54" s="22">
        <v>38</v>
      </c>
      <c r="B54">
        <f t="shared" ref="B54:B64" si="6">(C$52+(A54-A$52)*D$52)*E42</f>
        <v>263.54184152998505</v>
      </c>
    </row>
    <row r="55" spans="1:8">
      <c r="A55" s="22">
        <v>39</v>
      </c>
      <c r="B55">
        <f t="shared" si="6"/>
        <v>241.39837602840973</v>
      </c>
    </row>
    <row r="56" spans="1:8">
      <c r="A56" s="14">
        <v>40</v>
      </c>
      <c r="B56">
        <f t="shared" si="6"/>
        <v>240.89538627693327</v>
      </c>
    </row>
    <row r="57" spans="1:8">
      <c r="A57" s="14">
        <v>41</v>
      </c>
      <c r="B57">
        <f t="shared" si="6"/>
        <v>280.75895875964454</v>
      </c>
    </row>
    <row r="58" spans="1:8">
      <c r="A58" s="22">
        <v>42</v>
      </c>
      <c r="B58">
        <f t="shared" si="6"/>
        <v>248.72413821081099</v>
      </c>
    </row>
    <row r="59" spans="1:8">
      <c r="A59" s="22">
        <v>43</v>
      </c>
      <c r="B59">
        <f t="shared" si="6"/>
        <v>257.47594479577793</v>
      </c>
    </row>
    <row r="60" spans="1:8">
      <c r="A60" s="22">
        <v>44</v>
      </c>
      <c r="B60">
        <f t="shared" si="6"/>
        <v>263.92502910091611</v>
      </c>
    </row>
    <row r="61" spans="1:8">
      <c r="A61" s="14">
        <v>45</v>
      </c>
      <c r="B61">
        <f t="shared" si="6"/>
        <v>286.70173824725873</v>
      </c>
    </row>
    <row r="62" spans="1:8">
      <c r="A62" s="14">
        <v>46</v>
      </c>
      <c r="B62">
        <f t="shared" si="6"/>
        <v>300.03807394359444</v>
      </c>
    </row>
    <row r="63" spans="1:8">
      <c r="A63" s="22">
        <v>47</v>
      </c>
      <c r="B63">
        <f t="shared" si="6"/>
        <v>314.90750571113244</v>
      </c>
    </row>
    <row r="64" spans="1:8">
      <c r="A64" s="22">
        <v>48</v>
      </c>
      <c r="B64">
        <f t="shared" si="6"/>
        <v>368.04480394892028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"/>
  <sheetViews>
    <sheetView topLeftCell="F1" workbookViewId="0">
      <pane ySplit="1" topLeftCell="A2" activePane="bottomLeft" state="frozen"/>
      <selection pane="bottomLeft" activeCell="B2" sqref="B2:B37"/>
    </sheetView>
  </sheetViews>
  <sheetFormatPr baseColWidth="10" defaultRowHeight="15" x14ac:dyDescent="0"/>
  <cols>
    <col min="2" max="2" width="13.33203125" bestFit="1" customWidth="1"/>
    <col min="3" max="3" width="19.1640625" bestFit="1" customWidth="1"/>
  </cols>
  <sheetData>
    <row r="1" spans="1:17">
      <c r="A1" s="13" t="s">
        <v>1</v>
      </c>
      <c r="B1" t="s">
        <v>28</v>
      </c>
      <c r="C1" t="s">
        <v>29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7">
      <c r="A2" s="14">
        <v>1</v>
      </c>
      <c r="B2">
        <v>20.095830785484111</v>
      </c>
      <c r="C2">
        <f>B2-B$38</f>
        <v>18.841038320525069</v>
      </c>
    </row>
    <row r="3" spans="1:17">
      <c r="A3" s="14">
        <v>2</v>
      </c>
      <c r="B3">
        <v>8.3103743165000026</v>
      </c>
      <c r="C3">
        <f t="shared" ref="C3:C37" si="0">B3-B$38</f>
        <v>7.0555818515409605</v>
      </c>
      <c r="D3">
        <f>C2</f>
        <v>18.841038320525069</v>
      </c>
      <c r="E3">
        <f t="shared" ref="E3:O18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7">
      <c r="A4" s="14">
        <v>3</v>
      </c>
      <c r="B4">
        <v>-5.2264135551569098</v>
      </c>
      <c r="C4">
        <f t="shared" si="0"/>
        <v>-6.4812060201159518</v>
      </c>
      <c r="D4">
        <f t="shared" ref="D4:O37" si="2">C3</f>
        <v>7.0555818515409605</v>
      </c>
      <c r="E4">
        <f t="shared" si="1"/>
        <v>18.841038320525069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7">
      <c r="A5" s="14">
        <v>4</v>
      </c>
      <c r="B5">
        <v>-7.8121465907232732</v>
      </c>
      <c r="C5">
        <f t="shared" si="0"/>
        <v>-9.0669390556823153</v>
      </c>
      <c r="D5">
        <f t="shared" si="2"/>
        <v>-6.4812060201159518</v>
      </c>
      <c r="E5">
        <f t="shared" si="1"/>
        <v>7.0555818515409605</v>
      </c>
      <c r="F5">
        <f t="shared" si="1"/>
        <v>18.841038320525069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7">
      <c r="A6" s="14">
        <v>5</v>
      </c>
      <c r="B6">
        <v>-8.9644563069460901</v>
      </c>
      <c r="C6">
        <f t="shared" si="0"/>
        <v>-10.219248771905132</v>
      </c>
      <c r="D6">
        <f t="shared" si="2"/>
        <v>-9.0669390556823153</v>
      </c>
      <c r="E6">
        <f t="shared" si="1"/>
        <v>-6.4812060201159518</v>
      </c>
      <c r="F6">
        <f t="shared" si="1"/>
        <v>7.0555818515409605</v>
      </c>
      <c r="G6">
        <f t="shared" si="1"/>
        <v>18.841038320525069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7">
      <c r="A7" s="14">
        <v>6</v>
      </c>
      <c r="B7">
        <v>9.7178682049757583</v>
      </c>
      <c r="C7">
        <f t="shared" si="0"/>
        <v>8.4630757400167163</v>
      </c>
      <c r="D7">
        <f t="shared" si="2"/>
        <v>-10.219248771905132</v>
      </c>
      <c r="E7">
        <f t="shared" si="1"/>
        <v>-9.0669390556823153</v>
      </c>
      <c r="F7">
        <f t="shared" si="1"/>
        <v>-6.4812060201159518</v>
      </c>
      <c r="G7">
        <f t="shared" si="1"/>
        <v>7.0555818515409605</v>
      </c>
      <c r="H7">
        <f t="shared" si="1"/>
        <v>18.841038320525069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  <c r="Q7" t="s">
        <v>30</v>
      </c>
    </row>
    <row r="8" spans="1:17">
      <c r="A8" s="14">
        <v>7</v>
      </c>
      <c r="B8">
        <v>-6.7898516886968991</v>
      </c>
      <c r="C8">
        <f t="shared" si="0"/>
        <v>-8.0446441536559412</v>
      </c>
      <c r="D8">
        <f t="shared" si="2"/>
        <v>8.4630757400167163</v>
      </c>
      <c r="E8">
        <f t="shared" si="1"/>
        <v>-10.219248771905132</v>
      </c>
      <c r="F8">
        <f t="shared" si="1"/>
        <v>-9.0669390556823153</v>
      </c>
      <c r="G8">
        <f t="shared" si="1"/>
        <v>-6.4812060201159518</v>
      </c>
      <c r="H8">
        <f t="shared" si="1"/>
        <v>7.0555818515409605</v>
      </c>
      <c r="I8">
        <f t="shared" si="1"/>
        <v>18.841038320525069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Q8" t="s">
        <v>34</v>
      </c>
    </row>
    <row r="9" spans="1:17">
      <c r="A9" s="14">
        <v>8</v>
      </c>
      <c r="B9">
        <v>-10.316933836960345</v>
      </c>
      <c r="C9">
        <f t="shared" si="0"/>
        <v>-11.571726301919387</v>
      </c>
      <c r="D9">
        <f t="shared" si="2"/>
        <v>-8.0446441536559412</v>
      </c>
      <c r="E9">
        <f t="shared" si="1"/>
        <v>8.4630757400167163</v>
      </c>
      <c r="F9">
        <f t="shared" si="1"/>
        <v>-10.219248771905132</v>
      </c>
      <c r="G9">
        <f t="shared" si="1"/>
        <v>-9.0669390556823153</v>
      </c>
      <c r="H9">
        <f t="shared" si="1"/>
        <v>-6.4812060201159518</v>
      </c>
      <c r="I9">
        <f t="shared" si="1"/>
        <v>7.0555818515409605</v>
      </c>
      <c r="J9">
        <f t="shared" si="1"/>
        <v>18.841038320525069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Q9" t="s">
        <v>35</v>
      </c>
    </row>
    <row r="10" spans="1:17">
      <c r="A10" s="14">
        <v>9</v>
      </c>
      <c r="B10">
        <v>-10.671237521999672</v>
      </c>
      <c r="C10">
        <f t="shared" si="0"/>
        <v>-11.926029986958714</v>
      </c>
      <c r="D10">
        <f t="shared" si="2"/>
        <v>-11.571726301919387</v>
      </c>
      <c r="E10">
        <f t="shared" si="1"/>
        <v>-8.0446441536559412</v>
      </c>
      <c r="F10">
        <f t="shared" si="1"/>
        <v>8.4630757400167163</v>
      </c>
      <c r="G10">
        <f t="shared" si="1"/>
        <v>-10.219248771905132</v>
      </c>
      <c r="H10">
        <f t="shared" si="1"/>
        <v>-9.0669390556823153</v>
      </c>
      <c r="I10">
        <f t="shared" si="1"/>
        <v>-6.4812060201159518</v>
      </c>
      <c r="J10">
        <f t="shared" si="1"/>
        <v>7.0555818515409605</v>
      </c>
      <c r="K10">
        <f t="shared" si="1"/>
        <v>18.841038320525069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Q10" t="s">
        <v>36</v>
      </c>
    </row>
    <row r="11" spans="1:17">
      <c r="A11" s="14">
        <v>10</v>
      </c>
      <c r="B11">
        <v>-3.3745432902748291</v>
      </c>
      <c r="C11">
        <f t="shared" si="0"/>
        <v>-4.6293357552338712</v>
      </c>
      <c r="D11">
        <f t="shared" si="2"/>
        <v>-11.926029986958714</v>
      </c>
      <c r="E11">
        <f t="shared" si="1"/>
        <v>-11.571726301919387</v>
      </c>
      <c r="F11">
        <f t="shared" si="1"/>
        <v>-8.0446441536559412</v>
      </c>
      <c r="G11">
        <f t="shared" si="1"/>
        <v>8.4630757400167163</v>
      </c>
      <c r="H11">
        <f t="shared" si="1"/>
        <v>-10.219248771905132</v>
      </c>
      <c r="I11">
        <f t="shared" si="1"/>
        <v>-9.0669390556823153</v>
      </c>
      <c r="J11">
        <f t="shared" si="1"/>
        <v>-6.4812060201159518</v>
      </c>
      <c r="K11">
        <f t="shared" si="1"/>
        <v>7.0555818515409605</v>
      </c>
      <c r="L11">
        <f t="shared" si="1"/>
        <v>18.841038320525069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7">
      <c r="A12" s="14">
        <v>11</v>
      </c>
      <c r="B12">
        <v>-4.8212914016070272</v>
      </c>
      <c r="C12">
        <f t="shared" si="0"/>
        <v>-6.0760838665660692</v>
      </c>
      <c r="D12">
        <f t="shared" si="2"/>
        <v>-4.6293357552338712</v>
      </c>
      <c r="E12">
        <f t="shared" si="1"/>
        <v>-11.926029986958714</v>
      </c>
      <c r="F12">
        <f t="shared" si="1"/>
        <v>-11.571726301919387</v>
      </c>
      <c r="G12">
        <f t="shared" si="1"/>
        <v>-8.0446441536559412</v>
      </c>
      <c r="H12">
        <f t="shared" si="1"/>
        <v>8.4630757400167163</v>
      </c>
      <c r="I12">
        <f t="shared" si="1"/>
        <v>-10.219248771905132</v>
      </c>
      <c r="J12">
        <f t="shared" si="1"/>
        <v>-9.0669390556823153</v>
      </c>
      <c r="K12">
        <f t="shared" si="1"/>
        <v>-6.4812060201159518</v>
      </c>
      <c r="L12">
        <f t="shared" si="1"/>
        <v>7.0555818515409605</v>
      </c>
      <c r="M12">
        <f t="shared" si="1"/>
        <v>18.841038320525069</v>
      </c>
      <c r="N12">
        <f t="shared" si="1"/>
        <v>0</v>
      </c>
      <c r="O12">
        <f t="shared" si="1"/>
        <v>0</v>
      </c>
    </row>
    <row r="13" spans="1:17">
      <c r="A13" s="14">
        <v>12</v>
      </c>
      <c r="B13">
        <v>-0.46952818324456302</v>
      </c>
      <c r="C13">
        <f t="shared" si="0"/>
        <v>-1.7243206482036055</v>
      </c>
      <c r="D13">
        <f t="shared" si="2"/>
        <v>-6.0760838665660692</v>
      </c>
      <c r="E13">
        <f t="shared" si="1"/>
        <v>-4.6293357552338712</v>
      </c>
      <c r="F13">
        <f t="shared" si="1"/>
        <v>-11.926029986958714</v>
      </c>
      <c r="G13">
        <f t="shared" si="1"/>
        <v>-11.571726301919387</v>
      </c>
      <c r="H13">
        <f t="shared" si="1"/>
        <v>-8.0446441536559412</v>
      </c>
      <c r="I13">
        <f t="shared" si="1"/>
        <v>8.4630757400167163</v>
      </c>
      <c r="J13">
        <f t="shared" si="1"/>
        <v>-10.219248771905132</v>
      </c>
      <c r="K13">
        <f t="shared" si="1"/>
        <v>-9.0669390556823153</v>
      </c>
      <c r="L13">
        <f t="shared" si="1"/>
        <v>-6.4812060201159518</v>
      </c>
      <c r="M13">
        <f t="shared" si="1"/>
        <v>7.0555818515409605</v>
      </c>
      <c r="N13">
        <f t="shared" si="1"/>
        <v>18.841038320525069</v>
      </c>
      <c r="O13">
        <f t="shared" si="1"/>
        <v>0</v>
      </c>
    </row>
    <row r="14" spans="1:17">
      <c r="A14" s="14">
        <v>13</v>
      </c>
      <c r="B14">
        <v>1.4101559985429617</v>
      </c>
      <c r="C14">
        <f t="shared" si="0"/>
        <v>0.15536353358391919</v>
      </c>
      <c r="D14">
        <f t="shared" si="2"/>
        <v>-1.7243206482036055</v>
      </c>
      <c r="E14">
        <f t="shared" si="1"/>
        <v>-6.0760838665660692</v>
      </c>
      <c r="F14">
        <f t="shared" si="1"/>
        <v>-4.6293357552338712</v>
      </c>
      <c r="G14">
        <f t="shared" si="1"/>
        <v>-11.926029986958714</v>
      </c>
      <c r="H14">
        <f t="shared" si="1"/>
        <v>-11.571726301919387</v>
      </c>
      <c r="I14">
        <f t="shared" si="1"/>
        <v>-8.0446441536559412</v>
      </c>
      <c r="J14">
        <f t="shared" si="1"/>
        <v>8.4630757400167163</v>
      </c>
      <c r="K14">
        <f t="shared" si="1"/>
        <v>-10.219248771905132</v>
      </c>
      <c r="L14">
        <f t="shared" si="1"/>
        <v>-9.0669390556823153</v>
      </c>
      <c r="M14">
        <f t="shared" si="1"/>
        <v>-6.4812060201159518</v>
      </c>
      <c r="N14">
        <f t="shared" si="1"/>
        <v>7.0555818515409605</v>
      </c>
      <c r="O14">
        <f t="shared" si="1"/>
        <v>18.841038320525069</v>
      </c>
    </row>
    <row r="15" spans="1:17">
      <c r="A15" s="14">
        <v>14</v>
      </c>
      <c r="B15">
        <v>-11.576017204088942</v>
      </c>
      <c r="C15">
        <f t="shared" si="0"/>
        <v>-12.830809669047984</v>
      </c>
      <c r="D15">
        <f t="shared" si="2"/>
        <v>0.15536353358391919</v>
      </c>
      <c r="E15">
        <f t="shared" si="1"/>
        <v>-1.7243206482036055</v>
      </c>
      <c r="F15">
        <f t="shared" si="1"/>
        <v>-6.0760838665660692</v>
      </c>
      <c r="G15">
        <f t="shared" si="1"/>
        <v>-4.6293357552338712</v>
      </c>
      <c r="H15">
        <f t="shared" si="1"/>
        <v>-11.926029986958714</v>
      </c>
      <c r="I15">
        <f t="shared" si="1"/>
        <v>-11.571726301919387</v>
      </c>
      <c r="J15">
        <f t="shared" si="1"/>
        <v>-8.0446441536559412</v>
      </c>
      <c r="K15">
        <f t="shared" si="1"/>
        <v>8.4630757400167163</v>
      </c>
      <c r="L15">
        <f t="shared" si="1"/>
        <v>-10.219248771905132</v>
      </c>
      <c r="M15">
        <f t="shared" si="1"/>
        <v>-9.0669390556823153</v>
      </c>
      <c r="N15">
        <f t="shared" si="1"/>
        <v>-6.4812060201159518</v>
      </c>
      <c r="O15">
        <f t="shared" si="1"/>
        <v>7.0555818515409605</v>
      </c>
    </row>
    <row r="16" spans="1:17">
      <c r="A16" s="14">
        <v>15</v>
      </c>
      <c r="B16">
        <v>5.7865648677129116</v>
      </c>
      <c r="C16">
        <f t="shared" si="0"/>
        <v>4.5317724027538695</v>
      </c>
      <c r="D16">
        <f t="shared" si="2"/>
        <v>-12.830809669047984</v>
      </c>
      <c r="E16">
        <f t="shared" si="1"/>
        <v>0.15536353358391919</v>
      </c>
      <c r="F16">
        <f t="shared" si="1"/>
        <v>-1.7243206482036055</v>
      </c>
      <c r="G16">
        <f t="shared" si="1"/>
        <v>-6.0760838665660692</v>
      </c>
      <c r="H16">
        <f t="shared" si="1"/>
        <v>-4.6293357552338712</v>
      </c>
      <c r="I16">
        <f t="shared" si="1"/>
        <v>-11.926029986958714</v>
      </c>
      <c r="J16">
        <f t="shared" si="1"/>
        <v>-11.571726301919387</v>
      </c>
      <c r="K16">
        <f t="shared" si="1"/>
        <v>-8.0446441536559412</v>
      </c>
      <c r="L16">
        <f t="shared" si="1"/>
        <v>8.4630757400167163</v>
      </c>
      <c r="M16">
        <f t="shared" si="1"/>
        <v>-10.219248771905132</v>
      </c>
      <c r="N16">
        <f t="shared" si="1"/>
        <v>-9.0669390556823153</v>
      </c>
      <c r="O16">
        <f t="shared" si="1"/>
        <v>-6.4812060201159518</v>
      </c>
    </row>
    <row r="17" spans="1:15">
      <c r="A17" s="14">
        <v>16</v>
      </c>
      <c r="B17">
        <v>-7.9709142106868853</v>
      </c>
      <c r="C17">
        <f t="shared" si="0"/>
        <v>-9.2257066756459274</v>
      </c>
      <c r="D17">
        <f t="shared" si="2"/>
        <v>4.5317724027538695</v>
      </c>
      <c r="E17">
        <f t="shared" si="1"/>
        <v>-12.830809669047984</v>
      </c>
      <c r="F17">
        <f t="shared" si="1"/>
        <v>0.15536353358391919</v>
      </c>
      <c r="G17">
        <f t="shared" si="1"/>
        <v>-1.7243206482036055</v>
      </c>
      <c r="H17">
        <f t="shared" si="1"/>
        <v>-6.0760838665660692</v>
      </c>
      <c r="I17">
        <f t="shared" si="1"/>
        <v>-4.6293357552338712</v>
      </c>
      <c r="J17">
        <f t="shared" si="1"/>
        <v>-11.926029986958714</v>
      </c>
      <c r="K17">
        <f t="shared" si="1"/>
        <v>-11.571726301919387</v>
      </c>
      <c r="L17">
        <f t="shared" si="1"/>
        <v>-8.0446441536559412</v>
      </c>
      <c r="M17">
        <f t="shared" si="1"/>
        <v>8.4630757400167163</v>
      </c>
      <c r="N17">
        <f t="shared" si="1"/>
        <v>-10.219248771905132</v>
      </c>
      <c r="O17">
        <f t="shared" si="1"/>
        <v>-9.0669390556823153</v>
      </c>
    </row>
    <row r="18" spans="1:15">
      <c r="A18" s="14">
        <v>17</v>
      </c>
      <c r="B18">
        <v>13.836861147541299</v>
      </c>
      <c r="C18">
        <f t="shared" si="0"/>
        <v>12.582068682582257</v>
      </c>
      <c r="D18">
        <f t="shared" si="2"/>
        <v>-9.2257066756459274</v>
      </c>
      <c r="E18">
        <f t="shared" si="1"/>
        <v>4.5317724027538695</v>
      </c>
      <c r="F18">
        <f t="shared" si="1"/>
        <v>-12.830809669047984</v>
      </c>
      <c r="G18">
        <f t="shared" si="1"/>
        <v>0.15536353358391919</v>
      </c>
      <c r="H18">
        <f t="shared" si="1"/>
        <v>-1.7243206482036055</v>
      </c>
      <c r="I18">
        <f t="shared" si="1"/>
        <v>-6.0760838665660692</v>
      </c>
      <c r="J18">
        <f t="shared" si="1"/>
        <v>-4.6293357552338712</v>
      </c>
      <c r="K18">
        <f t="shared" si="1"/>
        <v>-11.926029986958714</v>
      </c>
      <c r="L18">
        <f t="shared" si="1"/>
        <v>-11.571726301919387</v>
      </c>
      <c r="M18">
        <f t="shared" si="1"/>
        <v>-8.0446441536559412</v>
      </c>
      <c r="N18">
        <f t="shared" si="1"/>
        <v>8.4630757400167163</v>
      </c>
      <c r="O18">
        <f t="shared" si="1"/>
        <v>-10.219248771905132</v>
      </c>
    </row>
    <row r="19" spans="1:15">
      <c r="A19" s="14">
        <v>18</v>
      </c>
      <c r="B19">
        <v>5.2380113962065025</v>
      </c>
      <c r="C19">
        <f t="shared" si="0"/>
        <v>3.98321893124746</v>
      </c>
      <c r="D19">
        <f t="shared" si="2"/>
        <v>12.582068682582257</v>
      </c>
      <c r="E19">
        <f t="shared" si="2"/>
        <v>-9.2257066756459274</v>
      </c>
      <c r="F19">
        <f t="shared" si="2"/>
        <v>4.5317724027538695</v>
      </c>
      <c r="G19">
        <f t="shared" si="2"/>
        <v>-12.830809669047984</v>
      </c>
      <c r="H19">
        <f t="shared" si="2"/>
        <v>0.15536353358391919</v>
      </c>
      <c r="I19">
        <f t="shared" si="2"/>
        <v>-1.7243206482036055</v>
      </c>
      <c r="J19">
        <f t="shared" si="2"/>
        <v>-6.0760838665660692</v>
      </c>
      <c r="K19">
        <f t="shared" si="2"/>
        <v>-4.6293357552338712</v>
      </c>
      <c r="L19">
        <f t="shared" si="2"/>
        <v>-11.926029986958714</v>
      </c>
      <c r="M19">
        <f t="shared" si="2"/>
        <v>-11.571726301919387</v>
      </c>
      <c r="N19">
        <f t="shared" si="2"/>
        <v>-8.0446441536559412</v>
      </c>
      <c r="O19">
        <f t="shared" si="2"/>
        <v>8.4630757400167163</v>
      </c>
    </row>
    <row r="20" spans="1:15">
      <c r="A20" s="14">
        <v>19</v>
      </c>
      <c r="B20">
        <v>1.0349409502502738</v>
      </c>
      <c r="C20">
        <f t="shared" si="0"/>
        <v>-0.21985151470876874</v>
      </c>
      <c r="D20">
        <f t="shared" si="2"/>
        <v>3.98321893124746</v>
      </c>
      <c r="E20">
        <f t="shared" si="2"/>
        <v>12.582068682582257</v>
      </c>
      <c r="F20">
        <f t="shared" si="2"/>
        <v>-9.2257066756459274</v>
      </c>
      <c r="G20">
        <f t="shared" si="2"/>
        <v>4.5317724027538695</v>
      </c>
      <c r="H20">
        <f t="shared" si="2"/>
        <v>-12.830809669047984</v>
      </c>
      <c r="I20">
        <f t="shared" si="2"/>
        <v>0.15536353358391919</v>
      </c>
      <c r="J20">
        <f t="shared" si="2"/>
        <v>-1.7243206482036055</v>
      </c>
      <c r="K20">
        <f t="shared" si="2"/>
        <v>-6.0760838665660692</v>
      </c>
      <c r="L20">
        <f t="shared" si="2"/>
        <v>-4.6293357552338712</v>
      </c>
      <c r="M20">
        <f t="shared" si="2"/>
        <v>-11.926029986958714</v>
      </c>
      <c r="N20">
        <f t="shared" si="2"/>
        <v>-11.571726301919387</v>
      </c>
      <c r="O20">
        <f t="shared" si="2"/>
        <v>-8.0446441536559412</v>
      </c>
    </row>
    <row r="21" spans="1:15">
      <c r="A21" s="14">
        <v>20</v>
      </c>
      <c r="B21">
        <v>5.5289407629058474</v>
      </c>
      <c r="C21">
        <f t="shared" si="0"/>
        <v>4.2741482979468053</v>
      </c>
      <c r="D21">
        <f t="shared" si="2"/>
        <v>-0.21985151470876874</v>
      </c>
      <c r="E21">
        <f t="shared" si="2"/>
        <v>3.98321893124746</v>
      </c>
      <c r="F21">
        <f t="shared" si="2"/>
        <v>12.582068682582257</v>
      </c>
      <c r="G21">
        <f t="shared" si="2"/>
        <v>-9.2257066756459274</v>
      </c>
      <c r="H21">
        <f t="shared" si="2"/>
        <v>4.5317724027538695</v>
      </c>
      <c r="I21">
        <f t="shared" si="2"/>
        <v>-12.830809669047984</v>
      </c>
      <c r="J21">
        <f t="shared" si="2"/>
        <v>0.15536353358391919</v>
      </c>
      <c r="K21">
        <f t="shared" si="2"/>
        <v>-1.7243206482036055</v>
      </c>
      <c r="L21">
        <f t="shared" si="2"/>
        <v>-6.0760838665660692</v>
      </c>
      <c r="M21">
        <f t="shared" si="2"/>
        <v>-4.6293357552338712</v>
      </c>
      <c r="N21">
        <f t="shared" si="2"/>
        <v>-11.926029986958714</v>
      </c>
      <c r="O21">
        <f t="shared" si="2"/>
        <v>-11.571726301919387</v>
      </c>
    </row>
    <row r="22" spans="1:15">
      <c r="A22" s="14">
        <v>21</v>
      </c>
      <c r="B22">
        <v>7.1344313533539321</v>
      </c>
      <c r="C22">
        <f t="shared" si="0"/>
        <v>5.87963888839489</v>
      </c>
      <c r="D22">
        <f t="shared" si="2"/>
        <v>4.2741482979468053</v>
      </c>
      <c r="E22">
        <f t="shared" si="2"/>
        <v>-0.21985151470876874</v>
      </c>
      <c r="F22">
        <f t="shared" si="2"/>
        <v>3.98321893124746</v>
      </c>
      <c r="G22">
        <f t="shared" si="2"/>
        <v>12.582068682582257</v>
      </c>
      <c r="H22">
        <f t="shared" si="2"/>
        <v>-9.2257066756459274</v>
      </c>
      <c r="I22">
        <f t="shared" si="2"/>
        <v>4.5317724027538695</v>
      </c>
      <c r="J22">
        <f t="shared" si="2"/>
        <v>-12.830809669047984</v>
      </c>
      <c r="K22">
        <f t="shared" si="2"/>
        <v>0.15536353358391919</v>
      </c>
      <c r="L22">
        <f t="shared" si="2"/>
        <v>-1.7243206482036055</v>
      </c>
      <c r="M22">
        <f t="shared" si="2"/>
        <v>-6.0760838665660692</v>
      </c>
      <c r="N22">
        <f t="shared" si="2"/>
        <v>-4.6293357552338712</v>
      </c>
      <c r="O22">
        <f t="shared" si="2"/>
        <v>-11.926029986958714</v>
      </c>
    </row>
    <row r="23" spans="1:15">
      <c r="A23" s="14">
        <v>22</v>
      </c>
      <c r="B23">
        <v>0.66523496201222088</v>
      </c>
      <c r="C23">
        <f t="shared" si="0"/>
        <v>-0.58955750294682163</v>
      </c>
      <c r="D23">
        <f t="shared" si="2"/>
        <v>5.87963888839489</v>
      </c>
      <c r="E23">
        <f t="shared" si="2"/>
        <v>4.2741482979468053</v>
      </c>
      <c r="F23">
        <f t="shared" si="2"/>
        <v>-0.21985151470876874</v>
      </c>
      <c r="G23">
        <f t="shared" si="2"/>
        <v>3.98321893124746</v>
      </c>
      <c r="H23">
        <f t="shared" si="2"/>
        <v>12.582068682582257</v>
      </c>
      <c r="I23">
        <f t="shared" si="2"/>
        <v>-9.2257066756459274</v>
      </c>
      <c r="J23">
        <f t="shared" si="2"/>
        <v>4.5317724027538695</v>
      </c>
      <c r="K23">
        <f t="shared" si="2"/>
        <v>-12.830809669047984</v>
      </c>
      <c r="L23">
        <f t="shared" si="2"/>
        <v>0.15536353358391919</v>
      </c>
      <c r="M23">
        <f t="shared" si="2"/>
        <v>-1.7243206482036055</v>
      </c>
      <c r="N23">
        <f t="shared" si="2"/>
        <v>-6.0760838665660692</v>
      </c>
      <c r="O23">
        <f t="shared" si="2"/>
        <v>-4.6293357552338712</v>
      </c>
    </row>
    <row r="24" spans="1:15">
      <c r="A24" s="14">
        <v>23</v>
      </c>
      <c r="B24">
        <v>4.234282738594942</v>
      </c>
      <c r="C24">
        <f t="shared" si="0"/>
        <v>2.9794902736358995</v>
      </c>
      <c r="D24">
        <f t="shared" si="2"/>
        <v>-0.58955750294682163</v>
      </c>
      <c r="E24">
        <f t="shared" si="2"/>
        <v>5.87963888839489</v>
      </c>
      <c r="F24">
        <f t="shared" si="2"/>
        <v>4.2741482979468053</v>
      </c>
      <c r="G24">
        <f t="shared" si="2"/>
        <v>-0.21985151470876874</v>
      </c>
      <c r="H24">
        <f t="shared" si="2"/>
        <v>3.98321893124746</v>
      </c>
      <c r="I24">
        <f t="shared" si="2"/>
        <v>12.582068682582257</v>
      </c>
      <c r="J24">
        <f t="shared" si="2"/>
        <v>-9.2257066756459274</v>
      </c>
      <c r="K24">
        <f t="shared" si="2"/>
        <v>4.5317724027538695</v>
      </c>
      <c r="L24">
        <f t="shared" si="2"/>
        <v>-12.830809669047984</v>
      </c>
      <c r="M24">
        <f t="shared" si="2"/>
        <v>0.15536353358391919</v>
      </c>
      <c r="N24">
        <f t="shared" si="2"/>
        <v>-1.7243206482036055</v>
      </c>
      <c r="O24">
        <f t="shared" si="2"/>
        <v>-6.0760838665660692</v>
      </c>
    </row>
    <row r="25" spans="1:15">
      <c r="A25" s="14">
        <v>24</v>
      </c>
      <c r="B25">
        <v>-0.42988007288835206</v>
      </c>
      <c r="C25">
        <f t="shared" si="0"/>
        <v>-1.6846725378473946</v>
      </c>
      <c r="D25">
        <f t="shared" si="2"/>
        <v>2.9794902736358995</v>
      </c>
      <c r="E25">
        <f t="shared" si="2"/>
        <v>-0.58955750294682163</v>
      </c>
      <c r="F25">
        <f t="shared" si="2"/>
        <v>5.87963888839489</v>
      </c>
      <c r="G25">
        <f t="shared" si="2"/>
        <v>4.2741482979468053</v>
      </c>
      <c r="H25">
        <f t="shared" si="2"/>
        <v>-0.21985151470876874</v>
      </c>
      <c r="I25">
        <f t="shared" si="2"/>
        <v>3.98321893124746</v>
      </c>
      <c r="J25">
        <f t="shared" si="2"/>
        <v>12.582068682582257</v>
      </c>
      <c r="K25">
        <f t="shared" si="2"/>
        <v>-9.2257066756459274</v>
      </c>
      <c r="L25">
        <f t="shared" si="2"/>
        <v>4.5317724027538695</v>
      </c>
      <c r="M25">
        <f t="shared" si="2"/>
        <v>-12.830809669047984</v>
      </c>
      <c r="N25">
        <f t="shared" si="2"/>
        <v>0.15536353358391919</v>
      </c>
      <c r="O25">
        <f t="shared" si="2"/>
        <v>-1.7243206482036055</v>
      </c>
    </row>
    <row r="26" spans="1:15">
      <c r="A26" s="14">
        <v>25</v>
      </c>
      <c r="B26">
        <v>-1.6753236575798383</v>
      </c>
      <c r="C26">
        <f t="shared" si="0"/>
        <v>-2.9301161225388808</v>
      </c>
      <c r="D26">
        <f t="shared" si="2"/>
        <v>-1.6846725378473946</v>
      </c>
      <c r="E26">
        <f t="shared" si="2"/>
        <v>2.9794902736358995</v>
      </c>
      <c r="F26">
        <f t="shared" si="2"/>
        <v>-0.58955750294682163</v>
      </c>
      <c r="G26">
        <f t="shared" si="2"/>
        <v>5.87963888839489</v>
      </c>
      <c r="H26">
        <f t="shared" si="2"/>
        <v>4.2741482979468053</v>
      </c>
      <c r="I26">
        <f t="shared" si="2"/>
        <v>-0.21985151470876874</v>
      </c>
      <c r="J26">
        <f t="shared" si="2"/>
        <v>3.98321893124746</v>
      </c>
      <c r="K26">
        <f t="shared" si="2"/>
        <v>12.582068682582257</v>
      </c>
      <c r="L26">
        <f t="shared" si="2"/>
        <v>-9.2257066756459274</v>
      </c>
      <c r="M26">
        <f t="shared" si="2"/>
        <v>4.5317724027538695</v>
      </c>
      <c r="N26">
        <f t="shared" si="2"/>
        <v>-12.830809669047984</v>
      </c>
      <c r="O26">
        <f t="shared" si="2"/>
        <v>0.15536353358391919</v>
      </c>
    </row>
    <row r="27" spans="1:15">
      <c r="A27" s="14">
        <v>26</v>
      </c>
      <c r="B27">
        <v>15.507548844673465</v>
      </c>
      <c r="C27">
        <f t="shared" si="0"/>
        <v>14.252756379714423</v>
      </c>
      <c r="D27">
        <f t="shared" si="2"/>
        <v>-2.9301161225388808</v>
      </c>
      <c r="E27">
        <f t="shared" si="2"/>
        <v>-1.6846725378473946</v>
      </c>
      <c r="F27">
        <f t="shared" si="2"/>
        <v>2.9794902736358995</v>
      </c>
      <c r="G27">
        <f t="shared" si="2"/>
        <v>-0.58955750294682163</v>
      </c>
      <c r="H27">
        <f t="shared" si="2"/>
        <v>5.87963888839489</v>
      </c>
      <c r="I27">
        <f t="shared" si="2"/>
        <v>4.2741482979468053</v>
      </c>
      <c r="J27">
        <f t="shared" si="2"/>
        <v>-0.21985151470876874</v>
      </c>
      <c r="K27">
        <f t="shared" si="2"/>
        <v>3.98321893124746</v>
      </c>
      <c r="L27">
        <f t="shared" si="2"/>
        <v>12.582068682582257</v>
      </c>
      <c r="M27">
        <f t="shared" si="2"/>
        <v>-9.2257066756459274</v>
      </c>
      <c r="N27">
        <f t="shared" si="2"/>
        <v>4.5317724027538695</v>
      </c>
      <c r="O27">
        <f t="shared" si="2"/>
        <v>-12.830809669047984</v>
      </c>
    </row>
    <row r="28" spans="1:15">
      <c r="A28" s="14">
        <v>27</v>
      </c>
      <c r="B28">
        <v>-4.2143561999386066</v>
      </c>
      <c r="C28">
        <f t="shared" si="0"/>
        <v>-5.4691486648976486</v>
      </c>
      <c r="D28">
        <f t="shared" si="2"/>
        <v>14.252756379714423</v>
      </c>
      <c r="E28">
        <f t="shared" si="2"/>
        <v>-2.9301161225388808</v>
      </c>
      <c r="F28">
        <f t="shared" si="2"/>
        <v>-1.6846725378473946</v>
      </c>
      <c r="G28">
        <f t="shared" si="2"/>
        <v>2.9794902736358995</v>
      </c>
      <c r="H28">
        <f t="shared" si="2"/>
        <v>-0.58955750294682163</v>
      </c>
      <c r="I28">
        <f t="shared" si="2"/>
        <v>5.87963888839489</v>
      </c>
      <c r="J28">
        <f t="shared" si="2"/>
        <v>4.2741482979468053</v>
      </c>
      <c r="K28">
        <f t="shared" si="2"/>
        <v>-0.21985151470876874</v>
      </c>
      <c r="L28">
        <f t="shared" si="2"/>
        <v>3.98321893124746</v>
      </c>
      <c r="M28">
        <f t="shared" si="2"/>
        <v>12.582068682582257</v>
      </c>
      <c r="N28">
        <f t="shared" si="2"/>
        <v>-9.2257066756459274</v>
      </c>
      <c r="O28">
        <f t="shared" si="2"/>
        <v>4.5317724027538695</v>
      </c>
    </row>
    <row r="29" spans="1:15">
      <c r="A29" s="14">
        <v>28</v>
      </c>
      <c r="B29">
        <v>12.336564361603166</v>
      </c>
      <c r="C29">
        <f t="shared" si="0"/>
        <v>11.081771896644124</v>
      </c>
      <c r="D29">
        <f t="shared" si="2"/>
        <v>-5.4691486648976486</v>
      </c>
      <c r="E29">
        <f t="shared" si="2"/>
        <v>14.252756379714423</v>
      </c>
      <c r="F29">
        <f t="shared" si="2"/>
        <v>-2.9301161225388808</v>
      </c>
      <c r="G29">
        <f t="shared" si="2"/>
        <v>-1.6846725378473946</v>
      </c>
      <c r="H29">
        <f t="shared" si="2"/>
        <v>2.9794902736358995</v>
      </c>
      <c r="I29">
        <f t="shared" si="2"/>
        <v>-0.58955750294682163</v>
      </c>
      <c r="J29">
        <f t="shared" si="2"/>
        <v>5.87963888839489</v>
      </c>
      <c r="K29">
        <f t="shared" si="2"/>
        <v>4.2741482979468053</v>
      </c>
      <c r="L29">
        <f t="shared" si="2"/>
        <v>-0.21985151470876874</v>
      </c>
      <c r="M29">
        <f t="shared" si="2"/>
        <v>3.98321893124746</v>
      </c>
      <c r="N29">
        <f t="shared" si="2"/>
        <v>12.582068682582257</v>
      </c>
      <c r="O29">
        <f t="shared" si="2"/>
        <v>-9.2257066756459274</v>
      </c>
    </row>
    <row r="30" spans="1:15">
      <c r="A30" s="14">
        <v>29</v>
      </c>
      <c r="B30">
        <v>-11.90486464727141</v>
      </c>
      <c r="C30">
        <f t="shared" si="0"/>
        <v>-13.159657112230452</v>
      </c>
      <c r="D30">
        <f t="shared" si="2"/>
        <v>11.081771896644124</v>
      </c>
      <c r="E30">
        <f t="shared" si="2"/>
        <v>-5.4691486648976486</v>
      </c>
      <c r="F30">
        <f t="shared" si="2"/>
        <v>14.252756379714423</v>
      </c>
      <c r="G30">
        <f t="shared" si="2"/>
        <v>-2.9301161225388808</v>
      </c>
      <c r="H30">
        <f t="shared" si="2"/>
        <v>-1.6846725378473946</v>
      </c>
      <c r="I30">
        <f t="shared" si="2"/>
        <v>2.9794902736358995</v>
      </c>
      <c r="J30">
        <f t="shared" si="2"/>
        <v>-0.58955750294682163</v>
      </c>
      <c r="K30">
        <f t="shared" si="2"/>
        <v>5.87963888839489</v>
      </c>
      <c r="L30">
        <f t="shared" si="2"/>
        <v>4.2741482979468053</v>
      </c>
      <c r="M30">
        <f t="shared" si="2"/>
        <v>-0.21985151470876874</v>
      </c>
      <c r="N30">
        <f t="shared" si="2"/>
        <v>3.98321893124746</v>
      </c>
      <c r="O30">
        <f t="shared" si="2"/>
        <v>12.582068682582257</v>
      </c>
    </row>
    <row r="31" spans="1:15">
      <c r="A31" s="14">
        <v>30</v>
      </c>
      <c r="B31">
        <v>0.37368242287649878</v>
      </c>
      <c r="C31">
        <f t="shared" si="0"/>
        <v>-0.88111004208254373</v>
      </c>
      <c r="D31">
        <f t="shared" si="2"/>
        <v>-13.159657112230452</v>
      </c>
      <c r="E31">
        <f t="shared" si="2"/>
        <v>11.081771896644124</v>
      </c>
      <c r="F31">
        <f t="shared" si="2"/>
        <v>-5.4691486648976486</v>
      </c>
      <c r="G31">
        <f t="shared" si="2"/>
        <v>14.252756379714423</v>
      </c>
      <c r="H31">
        <f t="shared" si="2"/>
        <v>-2.9301161225388808</v>
      </c>
      <c r="I31">
        <f t="shared" si="2"/>
        <v>-1.6846725378473946</v>
      </c>
      <c r="J31">
        <f t="shared" si="2"/>
        <v>2.9794902736358995</v>
      </c>
      <c r="K31">
        <f t="shared" si="2"/>
        <v>-0.58955750294682163</v>
      </c>
      <c r="L31">
        <f t="shared" si="2"/>
        <v>5.87963888839489</v>
      </c>
      <c r="M31">
        <f t="shared" si="2"/>
        <v>4.2741482979468053</v>
      </c>
      <c r="N31">
        <f t="shared" si="2"/>
        <v>-0.21985151470876874</v>
      </c>
      <c r="O31">
        <f t="shared" si="2"/>
        <v>3.98321893124746</v>
      </c>
    </row>
    <row r="32" spans="1:15">
      <c r="A32" s="14">
        <v>31</v>
      </c>
      <c r="B32">
        <v>12.169911333151731</v>
      </c>
      <c r="C32">
        <f t="shared" si="0"/>
        <v>10.915118868192689</v>
      </c>
      <c r="D32">
        <f t="shared" si="2"/>
        <v>-0.88111004208254373</v>
      </c>
      <c r="E32">
        <f t="shared" si="2"/>
        <v>-13.159657112230452</v>
      </c>
      <c r="F32">
        <f t="shared" si="2"/>
        <v>11.081771896644124</v>
      </c>
      <c r="G32">
        <f t="shared" si="2"/>
        <v>-5.4691486648976486</v>
      </c>
      <c r="H32">
        <f t="shared" si="2"/>
        <v>14.252756379714423</v>
      </c>
      <c r="I32">
        <f t="shared" si="2"/>
        <v>-2.9301161225388808</v>
      </c>
      <c r="J32">
        <f t="shared" si="2"/>
        <v>-1.6846725378473946</v>
      </c>
      <c r="K32">
        <f t="shared" si="2"/>
        <v>2.9794902736358995</v>
      </c>
      <c r="L32">
        <f t="shared" si="2"/>
        <v>-0.58955750294682163</v>
      </c>
      <c r="M32">
        <f t="shared" si="2"/>
        <v>5.87963888839489</v>
      </c>
      <c r="N32">
        <f t="shared" si="2"/>
        <v>4.2741482979468053</v>
      </c>
      <c r="O32">
        <f t="shared" si="2"/>
        <v>-0.21985151470876874</v>
      </c>
    </row>
    <row r="33" spans="1:15">
      <c r="A33" s="14">
        <v>32</v>
      </c>
      <c r="B33">
        <v>0.25214414219260561</v>
      </c>
      <c r="C33">
        <f t="shared" si="0"/>
        <v>-1.0026483227664369</v>
      </c>
      <c r="D33">
        <f t="shared" si="2"/>
        <v>10.915118868192689</v>
      </c>
      <c r="E33">
        <f t="shared" si="2"/>
        <v>-0.88111004208254373</v>
      </c>
      <c r="F33">
        <f t="shared" si="2"/>
        <v>-13.159657112230452</v>
      </c>
      <c r="G33">
        <f t="shared" si="2"/>
        <v>11.081771896644124</v>
      </c>
      <c r="H33">
        <f t="shared" si="2"/>
        <v>-5.4691486648976486</v>
      </c>
      <c r="I33">
        <f t="shared" si="2"/>
        <v>14.252756379714423</v>
      </c>
      <c r="J33">
        <f t="shared" si="2"/>
        <v>-2.9301161225388808</v>
      </c>
      <c r="K33">
        <f t="shared" si="2"/>
        <v>-1.6846725378473946</v>
      </c>
      <c r="L33">
        <f t="shared" si="2"/>
        <v>2.9794902736358995</v>
      </c>
      <c r="M33">
        <f t="shared" si="2"/>
        <v>-0.58955750294682163</v>
      </c>
      <c r="N33">
        <f t="shared" si="2"/>
        <v>5.87963888839489</v>
      </c>
      <c r="O33">
        <f t="shared" si="2"/>
        <v>4.2741482979468053</v>
      </c>
    </row>
    <row r="34" spans="1:15">
      <c r="A34" s="14">
        <v>33</v>
      </c>
      <c r="B34">
        <v>-9.8892451015129268</v>
      </c>
      <c r="C34">
        <f t="shared" si="0"/>
        <v>-11.144037566471969</v>
      </c>
      <c r="D34">
        <f t="shared" si="2"/>
        <v>-1.0026483227664369</v>
      </c>
      <c r="E34">
        <f t="shared" si="2"/>
        <v>10.915118868192689</v>
      </c>
      <c r="F34">
        <f t="shared" si="2"/>
        <v>-0.88111004208254373</v>
      </c>
      <c r="G34">
        <f t="shared" si="2"/>
        <v>-13.159657112230452</v>
      </c>
      <c r="H34">
        <f t="shared" si="2"/>
        <v>11.081771896644124</v>
      </c>
      <c r="I34">
        <f t="shared" si="2"/>
        <v>-5.4691486648976486</v>
      </c>
      <c r="J34">
        <f t="shared" si="2"/>
        <v>14.252756379714423</v>
      </c>
      <c r="K34">
        <f t="shared" si="2"/>
        <v>-2.9301161225388808</v>
      </c>
      <c r="L34">
        <f t="shared" si="2"/>
        <v>-1.6846725378473946</v>
      </c>
      <c r="M34">
        <f t="shared" si="2"/>
        <v>2.9794902736358995</v>
      </c>
      <c r="N34">
        <f t="shared" si="2"/>
        <v>-0.58955750294682163</v>
      </c>
      <c r="O34">
        <f t="shared" si="2"/>
        <v>5.87963888839489</v>
      </c>
    </row>
    <row r="35" spans="1:15">
      <c r="A35" s="14">
        <v>34</v>
      </c>
      <c r="B35">
        <v>-14.689743035032649</v>
      </c>
      <c r="C35">
        <f t="shared" si="0"/>
        <v>-15.944535499991691</v>
      </c>
      <c r="D35">
        <f t="shared" si="2"/>
        <v>-11.144037566471969</v>
      </c>
      <c r="E35">
        <f t="shared" si="2"/>
        <v>-1.0026483227664369</v>
      </c>
      <c r="F35">
        <f t="shared" si="2"/>
        <v>10.915118868192689</v>
      </c>
      <c r="G35">
        <f t="shared" si="2"/>
        <v>-0.88111004208254373</v>
      </c>
      <c r="H35">
        <f t="shared" si="2"/>
        <v>-13.159657112230452</v>
      </c>
      <c r="I35">
        <f t="shared" si="2"/>
        <v>11.081771896644124</v>
      </c>
      <c r="J35">
        <f t="shared" si="2"/>
        <v>-5.4691486648976486</v>
      </c>
      <c r="K35">
        <f t="shared" si="2"/>
        <v>14.252756379714423</v>
      </c>
      <c r="L35">
        <f t="shared" si="2"/>
        <v>-2.9301161225388808</v>
      </c>
      <c r="M35">
        <f t="shared" si="2"/>
        <v>-1.6846725378473946</v>
      </c>
      <c r="N35">
        <f t="shared" si="2"/>
        <v>2.9794902736358995</v>
      </c>
      <c r="O35">
        <f t="shared" si="2"/>
        <v>-0.58955750294682163</v>
      </c>
    </row>
    <row r="36" spans="1:15">
      <c r="A36" s="14">
        <v>35</v>
      </c>
      <c r="B36">
        <v>26.031754984525179</v>
      </c>
      <c r="C36">
        <f t="shared" si="0"/>
        <v>24.776962519566137</v>
      </c>
      <c r="D36">
        <f t="shared" si="2"/>
        <v>-15.944535499991691</v>
      </c>
      <c r="E36">
        <f t="shared" si="2"/>
        <v>-11.144037566471969</v>
      </c>
      <c r="F36">
        <f t="shared" si="2"/>
        <v>-1.0026483227664369</v>
      </c>
      <c r="G36">
        <f t="shared" si="2"/>
        <v>10.915118868192689</v>
      </c>
      <c r="H36">
        <f t="shared" si="2"/>
        <v>-0.88111004208254373</v>
      </c>
      <c r="I36">
        <f t="shared" si="2"/>
        <v>-13.159657112230452</v>
      </c>
      <c r="J36">
        <f t="shared" si="2"/>
        <v>11.081771896644124</v>
      </c>
      <c r="K36">
        <f t="shared" si="2"/>
        <v>-5.4691486648976486</v>
      </c>
      <c r="L36">
        <f t="shared" si="2"/>
        <v>14.252756379714423</v>
      </c>
      <c r="M36">
        <f t="shared" si="2"/>
        <v>-2.9301161225388808</v>
      </c>
      <c r="N36">
        <f t="shared" si="2"/>
        <v>-1.6846725378473946</v>
      </c>
      <c r="O36">
        <f t="shared" si="2"/>
        <v>2.9794902736358995</v>
      </c>
    </row>
    <row r="37" spans="1:15">
      <c r="A37" s="14">
        <v>36</v>
      </c>
      <c r="B37">
        <v>16.304171670031337</v>
      </c>
      <c r="C37">
        <f t="shared" si="0"/>
        <v>15.049379205072295</v>
      </c>
      <c r="D37">
        <f t="shared" si="2"/>
        <v>24.776962519566137</v>
      </c>
      <c r="E37">
        <f t="shared" si="2"/>
        <v>-15.944535499991691</v>
      </c>
      <c r="F37">
        <f t="shared" si="2"/>
        <v>-11.144037566471969</v>
      </c>
      <c r="G37">
        <f t="shared" si="2"/>
        <v>-1.0026483227664369</v>
      </c>
      <c r="H37">
        <f t="shared" si="2"/>
        <v>10.915118868192689</v>
      </c>
      <c r="I37">
        <f t="shared" si="2"/>
        <v>-0.88111004208254373</v>
      </c>
      <c r="J37">
        <f t="shared" si="2"/>
        <v>-13.159657112230452</v>
      </c>
      <c r="K37">
        <f t="shared" si="2"/>
        <v>11.081771896644124</v>
      </c>
      <c r="L37">
        <f t="shared" si="2"/>
        <v>-5.4691486648976486</v>
      </c>
      <c r="M37">
        <f t="shared" si="2"/>
        <v>14.252756379714423</v>
      </c>
      <c r="N37">
        <f t="shared" si="2"/>
        <v>-2.9301161225388808</v>
      </c>
      <c r="O37">
        <f t="shared" si="2"/>
        <v>-1.6846725378473946</v>
      </c>
    </row>
    <row r="38" spans="1:15">
      <c r="A38" s="22"/>
      <c r="B38">
        <f>AVERAGE(B2:B37)</f>
        <v>1.2547924649590425</v>
      </c>
      <c r="C38">
        <f>SUMPRODUCT($C2:$C37, C2:C37)</f>
        <v>3493.9824832216709</v>
      </c>
      <c r="D38">
        <f t="shared" ref="D38:O38" si="3">SUMPRODUCT($C2:$C37, D2:D37)</f>
        <v>90.361953294720479</v>
      </c>
      <c r="E38">
        <f t="shared" si="3"/>
        <v>-353.9066933590484</v>
      </c>
      <c r="F38">
        <f t="shared" si="3"/>
        <v>-457.03554926269675</v>
      </c>
      <c r="G38">
        <f t="shared" si="3"/>
        <v>506.52339533192702</v>
      </c>
      <c r="H38">
        <f t="shared" si="3"/>
        <v>955.66135728985842</v>
      </c>
      <c r="I38">
        <f t="shared" si="3"/>
        <v>-522.07609825566055</v>
      </c>
      <c r="J38">
        <f t="shared" si="3"/>
        <v>-223.97847859818546</v>
      </c>
      <c r="K38">
        <f t="shared" si="3"/>
        <v>-516.73388238127973</v>
      </c>
      <c r="L38">
        <f t="shared" si="3"/>
        <v>296.8374360662375</v>
      </c>
      <c r="M38">
        <f t="shared" si="3"/>
        <v>-282.80489456758335</v>
      </c>
      <c r="N38">
        <f t="shared" si="3"/>
        <v>255.76560118582779</v>
      </c>
      <c r="O38">
        <f t="shared" si="3"/>
        <v>-752.24945017980031</v>
      </c>
    </row>
    <row r="39" spans="1:15">
      <c r="A39" s="22"/>
    </row>
    <row r="40" spans="1:15">
      <c r="A40" s="22"/>
      <c r="C40" t="s">
        <v>31</v>
      </c>
      <c r="D40">
        <f>D38/$C38</f>
        <v>2.5862165517040913E-2</v>
      </c>
      <c r="E40">
        <f t="shared" ref="E40:O40" si="4">E38/$C38</f>
        <v>-0.1012903456323926</v>
      </c>
      <c r="F40">
        <f t="shared" si="4"/>
        <v>-0.1308064798428186</v>
      </c>
      <c r="G40">
        <f t="shared" si="4"/>
        <v>0.14497021601118065</v>
      </c>
      <c r="H40">
        <f t="shared" si="4"/>
        <v>0.2735163561577672</v>
      </c>
      <c r="I40">
        <f t="shared" si="4"/>
        <v>-0.14942149846563446</v>
      </c>
      <c r="J40">
        <f t="shared" si="4"/>
        <v>-6.4104064537742977E-2</v>
      </c>
      <c r="K40">
        <f t="shared" si="4"/>
        <v>-0.14789252231877784</v>
      </c>
      <c r="L40">
        <f t="shared" si="4"/>
        <v>8.4956761372350892E-2</v>
      </c>
      <c r="M40">
        <f t="shared" si="4"/>
        <v>-8.0940558782315222E-2</v>
      </c>
      <c r="N40">
        <f t="shared" si="4"/>
        <v>7.3201741111763058E-2</v>
      </c>
      <c r="O40">
        <f t="shared" si="4"/>
        <v>-0.21529857513371936</v>
      </c>
    </row>
    <row r="41" spans="1:15">
      <c r="A41" s="22"/>
    </row>
    <row r="42" spans="1:15">
      <c r="A42" s="22"/>
      <c r="C42" t="s">
        <v>32</v>
      </c>
      <c r="D42">
        <f>2/SQRT(36)</f>
        <v>0.33333333333333331</v>
      </c>
      <c r="E42">
        <f t="shared" ref="E42:O42" si="5">2/SQRT(36)</f>
        <v>0.33333333333333331</v>
      </c>
      <c r="F42">
        <f t="shared" si="5"/>
        <v>0.33333333333333331</v>
      </c>
      <c r="G42">
        <f t="shared" si="5"/>
        <v>0.33333333333333331</v>
      </c>
      <c r="H42">
        <f t="shared" si="5"/>
        <v>0.33333333333333331</v>
      </c>
      <c r="I42">
        <f t="shared" si="5"/>
        <v>0.33333333333333331</v>
      </c>
      <c r="J42">
        <f t="shared" si="5"/>
        <v>0.33333333333333331</v>
      </c>
      <c r="K42">
        <f t="shared" si="5"/>
        <v>0.33333333333333331</v>
      </c>
      <c r="L42">
        <f t="shared" si="5"/>
        <v>0.33333333333333331</v>
      </c>
      <c r="M42">
        <f t="shared" si="5"/>
        <v>0.33333333333333331</v>
      </c>
      <c r="N42">
        <f t="shared" si="5"/>
        <v>0.33333333333333331</v>
      </c>
      <c r="O42">
        <f t="shared" si="5"/>
        <v>0.33333333333333331</v>
      </c>
    </row>
    <row r="43" spans="1:15">
      <c r="A43" s="22"/>
      <c r="C43" t="s">
        <v>33</v>
      </c>
      <c r="D43">
        <f>-2/SQRT(36)</f>
        <v>-0.33333333333333331</v>
      </c>
      <c r="E43">
        <f t="shared" ref="E43:O43" si="6">-2/SQRT(36)</f>
        <v>-0.33333333333333331</v>
      </c>
      <c r="F43">
        <f t="shared" si="6"/>
        <v>-0.33333333333333331</v>
      </c>
      <c r="G43">
        <f t="shared" si="6"/>
        <v>-0.33333333333333331</v>
      </c>
      <c r="H43">
        <f t="shared" si="6"/>
        <v>-0.33333333333333331</v>
      </c>
      <c r="I43">
        <f t="shared" si="6"/>
        <v>-0.33333333333333331</v>
      </c>
      <c r="J43">
        <f t="shared" si="6"/>
        <v>-0.33333333333333331</v>
      </c>
      <c r="K43">
        <f t="shared" si="6"/>
        <v>-0.33333333333333331</v>
      </c>
      <c r="L43">
        <f t="shared" si="6"/>
        <v>-0.33333333333333331</v>
      </c>
      <c r="M43">
        <f t="shared" si="6"/>
        <v>-0.33333333333333331</v>
      </c>
      <c r="N43">
        <f t="shared" si="6"/>
        <v>-0.33333333333333331</v>
      </c>
      <c r="O43">
        <f t="shared" si="6"/>
        <v>-0.33333333333333331</v>
      </c>
    </row>
    <row r="44" spans="1:15">
      <c r="A44" s="22"/>
    </row>
    <row r="45" spans="1:15">
      <c r="A45" s="22"/>
    </row>
    <row r="46" spans="1:15">
      <c r="A46" s="22"/>
    </row>
    <row r="47" spans="1:15">
      <c r="A47" s="22"/>
    </row>
    <row r="48" spans="1:15">
      <c r="A48" s="22"/>
    </row>
    <row r="49" spans="1:1">
      <c r="A49" s="22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7"/>
  <sheetViews>
    <sheetView workbookViewId="0">
      <pane ySplit="4" topLeftCell="A58" activePane="bottomLeft" state="frozen"/>
      <selection pane="bottomLeft" activeCell="A67" sqref="A67:L67"/>
    </sheetView>
  </sheetViews>
  <sheetFormatPr baseColWidth="10" defaultRowHeight="15" x14ac:dyDescent="0"/>
  <sheetData>
    <row r="1" spans="1:8" ht="81" customHeight="1">
      <c r="A1" s="1" t="s">
        <v>56</v>
      </c>
      <c r="C1" s="1" t="s">
        <v>53</v>
      </c>
      <c r="D1" s="1" t="s">
        <v>54</v>
      </c>
      <c r="E1" s="1" t="s">
        <v>55</v>
      </c>
      <c r="G1" s="1" t="s">
        <v>6</v>
      </c>
      <c r="H1" s="1" t="s">
        <v>7</v>
      </c>
    </row>
    <row r="2" spans="1:8">
      <c r="A2">
        <v>36</v>
      </c>
      <c r="C2">
        <v>0.3071306092987458</v>
      </c>
      <c r="D2">
        <v>0.22882573119524233</v>
      </c>
      <c r="E2">
        <v>0</v>
      </c>
      <c r="G2">
        <f>SUM(H17:H52)</f>
        <v>3550.6646319059191</v>
      </c>
      <c r="H2">
        <f>SQRT(G2/(36-3))</f>
        <v>10.372844254906317</v>
      </c>
    </row>
    <row r="4" spans="1:8" ht="32" customHeight="1">
      <c r="A4" s="13" t="s">
        <v>1</v>
      </c>
      <c r="B4" s="13" t="s">
        <v>0</v>
      </c>
      <c r="C4" s="15" t="s">
        <v>49</v>
      </c>
      <c r="D4" s="15" t="s">
        <v>50</v>
      </c>
      <c r="E4" s="28" t="s">
        <v>51</v>
      </c>
      <c r="F4" s="28" t="s">
        <v>52</v>
      </c>
      <c r="G4" s="28" t="s">
        <v>4</v>
      </c>
      <c r="H4" s="28" t="s">
        <v>5</v>
      </c>
    </row>
    <row r="5" spans="1:8" s="31" customFormat="1">
      <c r="A5" s="32">
        <v>-11</v>
      </c>
      <c r="B5" s="32"/>
      <c r="C5" s="33"/>
      <c r="D5" s="33"/>
      <c r="E5" s="33">
        <v>0.98823339924446252</v>
      </c>
    </row>
    <row r="6" spans="1:8" s="31" customFormat="1">
      <c r="A6" s="32">
        <v>-10</v>
      </c>
      <c r="B6" s="32"/>
      <c r="C6" s="33"/>
      <c r="D6" s="33"/>
      <c r="E6" s="33">
        <v>1.0394595142086607</v>
      </c>
    </row>
    <row r="7" spans="1:8" s="31" customFormat="1">
      <c r="A7" s="32">
        <v>-9</v>
      </c>
      <c r="B7" s="32"/>
      <c r="C7" s="33"/>
      <c r="D7" s="33"/>
      <c r="E7" s="33">
        <v>0.93293329171244777</v>
      </c>
    </row>
    <row r="8" spans="1:8" s="31" customFormat="1">
      <c r="A8" s="32">
        <v>-8</v>
      </c>
      <c r="B8" s="32"/>
      <c r="C8" s="33"/>
      <c r="D8" s="33"/>
      <c r="E8" s="33">
        <v>0.91259775591054715</v>
      </c>
    </row>
    <row r="9" spans="1:8" s="31" customFormat="1">
      <c r="A9" s="32">
        <v>-7</v>
      </c>
      <c r="B9" s="32"/>
      <c r="C9" s="33"/>
      <c r="D9" s="33"/>
      <c r="E9" s="33">
        <v>1.0430106047420362</v>
      </c>
    </row>
    <row r="10" spans="1:8" s="31" customFormat="1">
      <c r="A10" s="32">
        <v>-6</v>
      </c>
      <c r="B10" s="32"/>
      <c r="C10" s="33"/>
      <c r="D10" s="33"/>
      <c r="E10" s="33">
        <v>0.90644245153667458</v>
      </c>
    </row>
    <row r="11" spans="1:8" s="31" customFormat="1">
      <c r="A11" s="32">
        <v>-5</v>
      </c>
      <c r="B11" s="32"/>
      <c r="C11" s="33"/>
      <c r="D11" s="33"/>
      <c r="E11" s="33">
        <v>0.92083758937691518</v>
      </c>
    </row>
    <row r="12" spans="1:8" s="31" customFormat="1">
      <c r="A12" s="32">
        <v>-4</v>
      </c>
      <c r="B12" s="32"/>
      <c r="C12" s="33"/>
      <c r="D12" s="33"/>
      <c r="E12" s="33">
        <v>0.92662094367181047</v>
      </c>
    </row>
    <row r="13" spans="1:8" s="31" customFormat="1">
      <c r="A13" s="32">
        <v>-3</v>
      </c>
      <c r="B13" s="32"/>
      <c r="C13" s="33"/>
      <c r="D13" s="33"/>
      <c r="E13" s="33">
        <v>0.98849075287229571</v>
      </c>
    </row>
    <row r="14" spans="1:8" s="31" customFormat="1">
      <c r="A14" s="32">
        <v>-2</v>
      </c>
      <c r="B14" s="32"/>
      <c r="C14" s="33"/>
      <c r="D14" s="33"/>
      <c r="E14" s="33">
        <v>1.0162014531884298</v>
      </c>
    </row>
    <row r="15" spans="1:8" s="31" customFormat="1">
      <c r="A15" s="32">
        <v>-1</v>
      </c>
      <c r="B15" s="32"/>
      <c r="C15" s="33"/>
      <c r="D15" s="33"/>
      <c r="E15" s="33">
        <v>1.0480526558060541</v>
      </c>
    </row>
    <row r="16" spans="1:8" s="31" customFormat="1">
      <c r="A16" s="32">
        <v>0</v>
      </c>
      <c r="B16" s="32"/>
      <c r="C16" s="33">
        <v>144.41999999999999</v>
      </c>
      <c r="D16" s="33">
        <v>2.2094999999999998</v>
      </c>
      <c r="E16" s="33">
        <v>1.2040049076184032</v>
      </c>
    </row>
    <row r="17" spans="1:8">
      <c r="A17" s="14">
        <v>1</v>
      </c>
      <c r="B17" s="14">
        <v>165</v>
      </c>
      <c r="C17">
        <f>C16+D16+C$2*G17/E5</f>
        <v>152.87503345214697</v>
      </c>
      <c r="D17">
        <f>D16+D$2*C$2*G17/E5</f>
        <v>3.638638758891882</v>
      </c>
      <c r="E17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>
      <c r="A18" s="14">
        <v>2</v>
      </c>
      <c r="B18" s="14">
        <v>171</v>
      </c>
      <c r="C18">
        <f t="shared" ref="C18:C52" si="0">C17+D17+C$2*G18/E6</f>
        <v>158.96915055573456</v>
      </c>
      <c r="D18">
        <f t="shared" ref="D18:D52" si="1">D17+D$2*C$2*G18/E6</f>
        <v>4.2005153865509621</v>
      </c>
      <c r="E18">
        <f t="shared" ref="E18:E52" si="2">E6+E$2*(1-C$2)*G18/(C17+D17)</f>
        <v>1.0394595142086607</v>
      </c>
      <c r="F18">
        <f t="shared" ref="F18:F52" si="3">(C17+D17)*E6</f>
        <v>162.6896256835</v>
      </c>
      <c r="G18">
        <f t="shared" ref="G18:G52" si="4">B18-F18</f>
        <v>8.3103743165000026</v>
      </c>
      <c r="H18">
        <f t="shared" ref="H18:H64" si="5">G18^2</f>
        <v>69.062321280342886</v>
      </c>
    </row>
    <row r="19" spans="1:8">
      <c r="A19" s="14">
        <v>3</v>
      </c>
      <c r="B19" s="14">
        <v>147</v>
      </c>
      <c r="C19">
        <f t="shared" si="0"/>
        <v>161.4490803506875</v>
      </c>
      <c r="D19">
        <f t="shared" si="1"/>
        <v>3.8068011304695428</v>
      </c>
      <c r="E19">
        <f t="shared" si="2"/>
        <v>0.93293329171244777</v>
      </c>
      <c r="F19">
        <f t="shared" si="3"/>
        <v>152.22641355515691</v>
      </c>
      <c r="G19">
        <f t="shared" si="4"/>
        <v>-5.2264135551569098</v>
      </c>
      <c r="H19">
        <f t="shared" si="5"/>
        <v>27.315398649527889</v>
      </c>
    </row>
    <row r="20" spans="1:8">
      <c r="A20" s="14">
        <v>4</v>
      </c>
      <c r="B20" s="14">
        <v>143</v>
      </c>
      <c r="C20">
        <f t="shared" si="0"/>
        <v>162.62673920374041</v>
      </c>
      <c r="D20">
        <f t="shared" si="1"/>
        <v>3.2051857264233585</v>
      </c>
      <c r="E20">
        <f t="shared" si="2"/>
        <v>0.91259775591054715</v>
      </c>
      <c r="F20">
        <f t="shared" si="3"/>
        <v>150.81214659072327</v>
      </c>
      <c r="G20">
        <f t="shared" si="4"/>
        <v>-7.8121465907232732</v>
      </c>
      <c r="H20">
        <f t="shared" si="5"/>
        <v>61.029634354949259</v>
      </c>
    </row>
    <row r="21" spans="1:8">
      <c r="A21" s="14">
        <v>5</v>
      </c>
      <c r="B21" s="14">
        <v>164</v>
      </c>
      <c r="C21">
        <f t="shared" si="0"/>
        <v>163.1922020787693</v>
      </c>
      <c r="D21">
        <f t="shared" si="1"/>
        <v>2.6011492148002247</v>
      </c>
      <c r="E21">
        <f t="shared" si="2"/>
        <v>1.0430106047420362</v>
      </c>
      <c r="F21">
        <f t="shared" si="3"/>
        <v>172.96445630694609</v>
      </c>
      <c r="G21">
        <f t="shared" si="4"/>
        <v>-8.9644563069460901</v>
      </c>
      <c r="H21">
        <f t="shared" si="5"/>
        <v>80.361476879145528</v>
      </c>
    </row>
    <row r="22" spans="1:8">
      <c r="A22" s="14">
        <v>6</v>
      </c>
      <c r="B22" s="14">
        <v>160</v>
      </c>
      <c r="C22">
        <f t="shared" si="0"/>
        <v>169.086064226221</v>
      </c>
      <c r="D22">
        <f t="shared" si="1"/>
        <v>3.3546066592302286</v>
      </c>
      <c r="E22">
        <f t="shared" si="2"/>
        <v>0.90644245153667458</v>
      </c>
      <c r="F22">
        <f t="shared" si="3"/>
        <v>150.28213179502424</v>
      </c>
      <c r="G22">
        <f t="shared" si="4"/>
        <v>9.7178682049757583</v>
      </c>
      <c r="H22">
        <f t="shared" si="5"/>
        <v>94.436962449278766</v>
      </c>
    </row>
    <row r="23" spans="1:8">
      <c r="A23" s="14">
        <v>7</v>
      </c>
      <c r="B23" s="14">
        <v>152</v>
      </c>
      <c r="C23">
        <f t="shared" si="0"/>
        <v>170.17602475213181</v>
      </c>
      <c r="D23">
        <f t="shared" si="1"/>
        <v>2.8363973518749366</v>
      </c>
      <c r="E23">
        <f t="shared" si="2"/>
        <v>0.92083758937691518</v>
      </c>
      <c r="F23">
        <f t="shared" si="3"/>
        <v>158.7898516886969</v>
      </c>
      <c r="G23">
        <f t="shared" si="4"/>
        <v>-6.7898516886968991</v>
      </c>
      <c r="H23">
        <f t="shared" si="5"/>
        <v>46.102085954500133</v>
      </c>
    </row>
    <row r="24" spans="1:8">
      <c r="A24" s="14">
        <v>8</v>
      </c>
      <c r="B24" s="14">
        <v>150</v>
      </c>
      <c r="C24">
        <f t="shared" si="0"/>
        <v>169.59285103011709</v>
      </c>
      <c r="D24">
        <f t="shared" si="1"/>
        <v>2.0539115005180313</v>
      </c>
      <c r="E24">
        <f t="shared" si="2"/>
        <v>0.92662094367181047</v>
      </c>
      <c r="F24">
        <f t="shared" si="3"/>
        <v>160.31693383696035</v>
      </c>
      <c r="G24">
        <f t="shared" si="4"/>
        <v>-10.316933836960345</v>
      </c>
      <c r="H24">
        <f t="shared" si="5"/>
        <v>106.43912379621732</v>
      </c>
    </row>
    <row r="25" spans="1:8">
      <c r="A25" s="14">
        <v>9</v>
      </c>
      <c r="B25" s="14">
        <v>159</v>
      </c>
      <c r="C25">
        <f t="shared" si="0"/>
        <v>168.33113851232241</v>
      </c>
      <c r="D25">
        <f t="shared" si="1"/>
        <v>1.2952114101591179</v>
      </c>
      <c r="E25">
        <f t="shared" si="2"/>
        <v>0.98849075287229571</v>
      </c>
      <c r="F25">
        <f t="shared" si="3"/>
        <v>169.67123752199967</v>
      </c>
      <c r="G25">
        <f t="shared" si="4"/>
        <v>-10.671237521999672</v>
      </c>
      <c r="H25">
        <f t="shared" si="5"/>
        <v>113.87531025093369</v>
      </c>
    </row>
    <row r="26" spans="1:8">
      <c r="A26" s="14">
        <v>10</v>
      </c>
      <c r="B26" s="14">
        <v>169</v>
      </c>
      <c r="C26">
        <f t="shared" si="0"/>
        <v>168.60644827444193</v>
      </c>
      <c r="D26">
        <f t="shared" si="1"/>
        <v>1.0618316697992267</v>
      </c>
      <c r="E26">
        <f t="shared" si="2"/>
        <v>1.0162014531884298</v>
      </c>
      <c r="F26">
        <f t="shared" si="3"/>
        <v>172.37454329027483</v>
      </c>
      <c r="G26">
        <f t="shared" si="4"/>
        <v>-3.3745432902748291</v>
      </c>
      <c r="H26">
        <f t="shared" si="5"/>
        <v>11.387542417938869</v>
      </c>
    </row>
    <row r="27" spans="1:8">
      <c r="A27" s="14">
        <v>11</v>
      </c>
      <c r="B27" s="14">
        <v>173</v>
      </c>
      <c r="C27">
        <f t="shared" si="0"/>
        <v>168.25540611812264</v>
      </c>
      <c r="D27">
        <f t="shared" si="1"/>
        <v>0.73852978345103792</v>
      </c>
      <c r="E27">
        <f t="shared" si="2"/>
        <v>1.0480526558060541</v>
      </c>
      <c r="F27">
        <f t="shared" si="3"/>
        <v>177.82129140160703</v>
      </c>
      <c r="G27">
        <f t="shared" si="4"/>
        <v>-4.8212914016070272</v>
      </c>
      <c r="H27">
        <f t="shared" si="5"/>
        <v>23.244850779209852</v>
      </c>
    </row>
    <row r="28" spans="1:8">
      <c r="A28" s="14">
        <v>12</v>
      </c>
      <c r="B28" s="14">
        <v>203</v>
      </c>
      <c r="C28">
        <f t="shared" si="0"/>
        <v>168.87416356834618</v>
      </c>
      <c r="D28">
        <f t="shared" si="1"/>
        <v>0.7111227917232914</v>
      </c>
      <c r="E28">
        <f t="shared" si="2"/>
        <v>1.2040049076184032</v>
      </c>
      <c r="F28">
        <f t="shared" si="3"/>
        <v>203.46952818324456</v>
      </c>
      <c r="G28">
        <f t="shared" si="4"/>
        <v>-0.46952818324456302</v>
      </c>
      <c r="H28">
        <f t="shared" si="5"/>
        <v>0.22045671486093996</v>
      </c>
    </row>
    <row r="29" spans="1:8">
      <c r="A29" s="14">
        <v>13</v>
      </c>
      <c r="B29" s="14">
        <v>169</v>
      </c>
      <c r="C29">
        <f t="shared" si="0"/>
        <v>170.02354524847567</v>
      </c>
      <c r="D29">
        <f t="shared" si="1"/>
        <v>0.8114077023156594</v>
      </c>
      <c r="E29">
        <f t="shared" si="2"/>
        <v>0.98823339924446252</v>
      </c>
      <c r="F29">
        <f t="shared" si="3"/>
        <v>167.58984400145704</v>
      </c>
      <c r="G29">
        <f t="shared" si="4"/>
        <v>1.4101559985429617</v>
      </c>
      <c r="H29">
        <f t="shared" si="5"/>
        <v>1.9885399402266974</v>
      </c>
    </row>
    <row r="30" spans="1:8">
      <c r="A30" s="14">
        <v>14</v>
      </c>
      <c r="B30" s="14">
        <v>166</v>
      </c>
      <c r="C30">
        <f t="shared" si="0"/>
        <v>167.41457036874215</v>
      </c>
      <c r="D30">
        <f t="shared" si="1"/>
        <v>2.8736157010785912E-2</v>
      </c>
      <c r="E30">
        <f t="shared" si="2"/>
        <v>1.0394595142086607</v>
      </c>
      <c r="F30">
        <f t="shared" si="3"/>
        <v>177.57601720408894</v>
      </c>
      <c r="G30">
        <f t="shared" si="4"/>
        <v>-11.576017204088942</v>
      </c>
      <c r="H30">
        <f t="shared" si="5"/>
        <v>134.00417430936315</v>
      </c>
    </row>
    <row r="31" spans="1:8">
      <c r="A31" s="14">
        <v>15</v>
      </c>
      <c r="B31" s="14">
        <v>162</v>
      </c>
      <c r="C31">
        <f t="shared" si="0"/>
        <v>169.34829931500713</v>
      </c>
      <c r="D31">
        <f t="shared" si="1"/>
        <v>0.46464752493353867</v>
      </c>
      <c r="E31">
        <f t="shared" si="2"/>
        <v>0.93293329171244777</v>
      </c>
      <c r="F31">
        <f t="shared" si="3"/>
        <v>156.21343513228709</v>
      </c>
      <c r="G31">
        <f t="shared" si="4"/>
        <v>5.7865648677129116</v>
      </c>
      <c r="H31">
        <f t="shared" si="5"/>
        <v>33.484332968249348</v>
      </c>
    </row>
    <row r="32" spans="1:8">
      <c r="A32" s="14">
        <v>16</v>
      </c>
      <c r="B32" s="14">
        <v>147</v>
      </c>
      <c r="C32">
        <f t="shared" si="0"/>
        <v>167.13037204470277</v>
      </c>
      <c r="D32">
        <f t="shared" si="1"/>
        <v>-0.14919461407269918</v>
      </c>
      <c r="E32">
        <f t="shared" si="2"/>
        <v>0.91259775591054715</v>
      </c>
      <c r="F32">
        <f t="shared" si="3"/>
        <v>154.97091421068689</v>
      </c>
      <c r="G32">
        <f t="shared" si="4"/>
        <v>-7.9709142106868853</v>
      </c>
      <c r="H32">
        <f t="shared" si="5"/>
        <v>63.535473354130133</v>
      </c>
    </row>
    <row r="33" spans="1:8">
      <c r="A33" s="14">
        <v>17</v>
      </c>
      <c r="B33" s="14">
        <v>188</v>
      </c>
      <c r="C33">
        <f t="shared" si="0"/>
        <v>171.05565526978643</v>
      </c>
      <c r="D33">
        <f t="shared" si="1"/>
        <v>0.78315075671106638</v>
      </c>
      <c r="E33">
        <f t="shared" si="2"/>
        <v>1.0430106047420362</v>
      </c>
      <c r="F33">
        <f t="shared" si="3"/>
        <v>174.1631388524587</v>
      </c>
      <c r="G33">
        <f t="shared" si="4"/>
        <v>13.836861147541299</v>
      </c>
      <c r="H33">
        <f t="shared" si="5"/>
        <v>191.45872641633792</v>
      </c>
    </row>
    <row r="34" spans="1:8">
      <c r="A34" s="14">
        <v>18</v>
      </c>
      <c r="B34" s="14">
        <v>161</v>
      </c>
      <c r="C34">
        <f t="shared" si="0"/>
        <v>173.61360555061884</v>
      </c>
      <c r="D34">
        <f t="shared" si="1"/>
        <v>1.1892705555431018</v>
      </c>
      <c r="E34">
        <f t="shared" si="2"/>
        <v>0.90644245153667458</v>
      </c>
      <c r="F34">
        <f t="shared" si="3"/>
        <v>155.7619886037935</v>
      </c>
      <c r="G34">
        <f t="shared" si="4"/>
        <v>5.2380113962065025</v>
      </c>
      <c r="H34">
        <f t="shared" si="5"/>
        <v>27.436763386789192</v>
      </c>
    </row>
    <row r="35" spans="1:8">
      <c r="A35" s="14">
        <v>19</v>
      </c>
      <c r="B35" s="14">
        <v>162</v>
      </c>
      <c r="C35">
        <f t="shared" si="0"/>
        <v>175.14806406145996</v>
      </c>
      <c r="D35">
        <f t="shared" si="1"/>
        <v>1.2682584418139655</v>
      </c>
      <c r="E35">
        <f t="shared" si="2"/>
        <v>0.92083758937691518</v>
      </c>
      <c r="F35">
        <f t="shared" si="3"/>
        <v>160.96505904974973</v>
      </c>
      <c r="G35">
        <f t="shared" si="4"/>
        <v>1.0349409502502738</v>
      </c>
      <c r="H35">
        <f t="shared" si="5"/>
        <v>1.0711027705049396</v>
      </c>
    </row>
    <row r="36" spans="1:8">
      <c r="A36" s="14">
        <v>20</v>
      </c>
      <c r="B36" s="14">
        <v>169</v>
      </c>
      <c r="C36">
        <f t="shared" si="0"/>
        <v>178.24890243456608</v>
      </c>
      <c r="D36">
        <f t="shared" si="1"/>
        <v>1.6875998845656166</v>
      </c>
      <c r="E36">
        <f t="shared" si="2"/>
        <v>0.92662094367181047</v>
      </c>
      <c r="F36">
        <f t="shared" si="3"/>
        <v>163.47105923709415</v>
      </c>
      <c r="G36">
        <f t="shared" si="4"/>
        <v>5.5289407629058474</v>
      </c>
      <c r="H36">
        <f t="shared" si="5"/>
        <v>30.569185959721892</v>
      </c>
    </row>
    <row r="37" spans="1:8">
      <c r="A37" s="14">
        <v>21</v>
      </c>
      <c r="B37" s="14">
        <v>185</v>
      </c>
      <c r="C37">
        <f t="shared" si="0"/>
        <v>182.15321728807663</v>
      </c>
      <c r="D37">
        <f t="shared" si="1"/>
        <v>2.1948413081858806</v>
      </c>
      <c r="E37">
        <f t="shared" si="2"/>
        <v>0.98849075287229571</v>
      </c>
      <c r="F37">
        <f t="shared" si="3"/>
        <v>177.86556864664607</v>
      </c>
      <c r="G37">
        <f t="shared" si="4"/>
        <v>7.1344313533539321</v>
      </c>
      <c r="H37">
        <f t="shared" si="5"/>
        <v>50.900110735719622</v>
      </c>
    </row>
    <row r="38" spans="1:8">
      <c r="A38" s="14">
        <v>22</v>
      </c>
      <c r="B38" s="14">
        <v>188</v>
      </c>
      <c r="C38">
        <f t="shared" si="0"/>
        <v>184.54911520621775</v>
      </c>
      <c r="D38">
        <f t="shared" si="1"/>
        <v>2.2408482339705222</v>
      </c>
      <c r="E38">
        <f t="shared" si="2"/>
        <v>1.0162014531884298</v>
      </c>
      <c r="F38">
        <f t="shared" si="3"/>
        <v>187.33476503798778</v>
      </c>
      <c r="G38">
        <f t="shared" si="4"/>
        <v>0.66523496201222088</v>
      </c>
      <c r="H38">
        <f t="shared" si="5"/>
        <v>0.44253755468340095</v>
      </c>
    </row>
    <row r="39" spans="1:8">
      <c r="A39" s="14">
        <v>23</v>
      </c>
      <c r="B39" s="14">
        <v>200</v>
      </c>
      <c r="C39">
        <f t="shared" si="0"/>
        <v>188.0308150617584</v>
      </c>
      <c r="D39">
        <f t="shared" si="1"/>
        <v>2.5247870135811099</v>
      </c>
      <c r="E39">
        <f t="shared" si="2"/>
        <v>1.0480526558060541</v>
      </c>
      <c r="F39">
        <f t="shared" si="3"/>
        <v>195.76571726140506</v>
      </c>
      <c r="G39">
        <f t="shared" si="4"/>
        <v>4.234282738594942</v>
      </c>
      <c r="H39">
        <f t="shared" si="5"/>
        <v>17.929150310363081</v>
      </c>
    </row>
    <row r="40" spans="1:8">
      <c r="A40" s="14">
        <v>24</v>
      </c>
      <c r="B40" s="14">
        <v>229</v>
      </c>
      <c r="C40">
        <f t="shared" si="0"/>
        <v>190.44594361142782</v>
      </c>
      <c r="D40">
        <f t="shared" si="1"/>
        <v>2.4996943353947669</v>
      </c>
      <c r="E40">
        <f t="shared" si="2"/>
        <v>1.2040049076184032</v>
      </c>
      <c r="F40">
        <f t="shared" si="3"/>
        <v>229.42988007288835</v>
      </c>
      <c r="G40">
        <f t="shared" si="4"/>
        <v>-0.42988007288835206</v>
      </c>
      <c r="H40">
        <f t="shared" si="5"/>
        <v>0.18479687706649489</v>
      </c>
    </row>
    <row r="41" spans="1:8">
      <c r="A41" s="14">
        <v>25</v>
      </c>
      <c r="B41" s="14">
        <v>189</v>
      </c>
      <c r="C41">
        <f t="shared" si="0"/>
        <v>192.42496825875244</v>
      </c>
      <c r="D41">
        <f t="shared" si="1"/>
        <v>2.3805517133109206</v>
      </c>
      <c r="E41">
        <f t="shared" si="2"/>
        <v>0.98823339924446252</v>
      </c>
      <c r="F41">
        <f t="shared" si="3"/>
        <v>190.67532365757984</v>
      </c>
      <c r="G41">
        <f t="shared" si="4"/>
        <v>-1.6753236575798383</v>
      </c>
      <c r="H41">
        <f t="shared" si="5"/>
        <v>2.8067093576466871</v>
      </c>
    </row>
    <row r="42" spans="1:8">
      <c r="A42" s="14">
        <v>26</v>
      </c>
      <c r="B42" s="14">
        <v>218</v>
      </c>
      <c r="C42">
        <f t="shared" si="0"/>
        <v>199.38755790648025</v>
      </c>
      <c r="D42">
        <f t="shared" si="1"/>
        <v>3.4290398940182003</v>
      </c>
      <c r="E42">
        <f t="shared" si="2"/>
        <v>1.0394595142086607</v>
      </c>
      <c r="F42">
        <f t="shared" si="3"/>
        <v>202.49245115532653</v>
      </c>
      <c r="G42">
        <f t="shared" si="4"/>
        <v>15.507548844673465</v>
      </c>
      <c r="H42">
        <f t="shared" si="5"/>
        <v>240.48407116993332</v>
      </c>
    </row>
    <row r="43" spans="1:8">
      <c r="A43" s="14">
        <v>27</v>
      </c>
      <c r="B43" s="14">
        <v>185</v>
      </c>
      <c r="C43">
        <f t="shared" si="0"/>
        <v>201.42919122064188</v>
      </c>
      <c r="D43">
        <f t="shared" si="1"/>
        <v>3.111565568917432</v>
      </c>
      <c r="E43">
        <f t="shared" si="2"/>
        <v>0.93293329171244777</v>
      </c>
      <c r="F43">
        <f t="shared" si="3"/>
        <v>189.21435619993861</v>
      </c>
      <c r="G43">
        <f t="shared" si="4"/>
        <v>-4.2143561999386066</v>
      </c>
      <c r="H43">
        <f t="shared" si="5"/>
        <v>17.760798179960972</v>
      </c>
    </row>
    <row r="44" spans="1:8">
      <c r="A44" s="14">
        <v>28</v>
      </c>
      <c r="B44" s="14">
        <v>199</v>
      </c>
      <c r="C44">
        <f t="shared" si="0"/>
        <v>208.69257121655397</v>
      </c>
      <c r="D44">
        <f t="shared" si="1"/>
        <v>4.0616075409614441</v>
      </c>
      <c r="E44">
        <f t="shared" si="2"/>
        <v>0.91259775591054715</v>
      </c>
      <c r="F44">
        <f t="shared" si="3"/>
        <v>186.66343563839683</v>
      </c>
      <c r="G44">
        <f t="shared" si="4"/>
        <v>12.336564361603166</v>
      </c>
      <c r="H44">
        <f t="shared" si="5"/>
        <v>152.19082024797734</v>
      </c>
    </row>
    <row r="45" spans="1:8">
      <c r="A45" s="14">
        <v>29</v>
      </c>
      <c r="B45" s="14">
        <v>210</v>
      </c>
      <c r="C45">
        <f t="shared" si="0"/>
        <v>209.24860717836557</v>
      </c>
      <c r="D45">
        <f t="shared" si="1"/>
        <v>3.2594425611052222</v>
      </c>
      <c r="E45">
        <f t="shared" si="2"/>
        <v>1.0430106047420362</v>
      </c>
      <c r="F45">
        <f t="shared" si="3"/>
        <v>221.90486464727141</v>
      </c>
      <c r="G45">
        <f t="shared" si="4"/>
        <v>-11.90486464727141</v>
      </c>
      <c r="H45">
        <f t="shared" si="5"/>
        <v>141.72580226985264</v>
      </c>
    </row>
    <row r="46" spans="1:8">
      <c r="A46" s="14">
        <v>30</v>
      </c>
      <c r="B46" s="14">
        <v>193</v>
      </c>
      <c r="C46">
        <f t="shared" si="0"/>
        <v>212.63466484893277</v>
      </c>
      <c r="D46">
        <f t="shared" si="1"/>
        <v>3.2884153561082226</v>
      </c>
      <c r="E46">
        <f t="shared" si="2"/>
        <v>0.90644245153667458</v>
      </c>
      <c r="F46">
        <f t="shared" si="3"/>
        <v>192.6263175771235</v>
      </c>
      <c r="G46">
        <f t="shared" si="4"/>
        <v>0.37368242287649878</v>
      </c>
      <c r="H46">
        <f t="shared" si="5"/>
        <v>0.13963855316685045</v>
      </c>
    </row>
    <row r="47" spans="1:8">
      <c r="A47" s="14">
        <v>31</v>
      </c>
      <c r="B47" s="14">
        <v>211</v>
      </c>
      <c r="C47">
        <f t="shared" si="0"/>
        <v>219.98215894594227</v>
      </c>
      <c r="D47">
        <f t="shared" si="1"/>
        <v>4.2172370169740176</v>
      </c>
      <c r="E47">
        <f t="shared" si="2"/>
        <v>0.92083758937691518</v>
      </c>
      <c r="F47">
        <f t="shared" si="3"/>
        <v>198.83008866684827</v>
      </c>
      <c r="G47">
        <f t="shared" si="4"/>
        <v>12.169911333151731</v>
      </c>
      <c r="H47">
        <f t="shared" si="5"/>
        <v>148.10674185677493</v>
      </c>
    </row>
    <row r="48" spans="1:8">
      <c r="A48" s="14">
        <v>32</v>
      </c>
      <c r="B48" s="14">
        <v>208</v>
      </c>
      <c r="C48">
        <f t="shared" si="0"/>
        <v>224.28296970960483</v>
      </c>
      <c r="D48">
        <f t="shared" si="1"/>
        <v>4.2363608406687492</v>
      </c>
      <c r="E48">
        <f t="shared" si="2"/>
        <v>0.92662094367181047</v>
      </c>
      <c r="F48">
        <f t="shared" si="3"/>
        <v>207.74785585780739</v>
      </c>
      <c r="G48">
        <f t="shared" si="4"/>
        <v>0.25214414219260561</v>
      </c>
      <c r="H48">
        <f t="shared" si="5"/>
        <v>6.3576668442044917E-2</v>
      </c>
    </row>
    <row r="49" spans="1:8">
      <c r="A49" s="14">
        <v>33</v>
      </c>
      <c r="B49" s="14">
        <v>216</v>
      </c>
      <c r="C49">
        <f t="shared" si="0"/>
        <v>225.44667674475568</v>
      </c>
      <c r="D49">
        <f t="shared" si="1"/>
        <v>3.5332585869112743</v>
      </c>
      <c r="E49">
        <f t="shared" si="2"/>
        <v>0.98849075287229571</v>
      </c>
      <c r="F49">
        <f t="shared" si="3"/>
        <v>225.88924510151293</v>
      </c>
      <c r="G49">
        <f t="shared" si="4"/>
        <v>-9.8892451015129268</v>
      </c>
      <c r="H49">
        <f t="shared" si="5"/>
        <v>97.797168677797416</v>
      </c>
    </row>
    <row r="50" spans="1:8">
      <c r="A50" s="14">
        <v>34</v>
      </c>
      <c r="B50" s="14">
        <v>218</v>
      </c>
      <c r="C50">
        <f t="shared" si="0"/>
        <v>224.54019583450741</v>
      </c>
      <c r="D50">
        <f t="shared" si="1"/>
        <v>2.517331950157347</v>
      </c>
      <c r="E50">
        <f t="shared" si="2"/>
        <v>1.0162014531884298</v>
      </c>
      <c r="F50">
        <f t="shared" si="3"/>
        <v>232.68974303503265</v>
      </c>
      <c r="G50">
        <f t="shared" si="4"/>
        <v>-14.689743035032649</v>
      </c>
      <c r="H50">
        <f t="shared" si="5"/>
        <v>215.7885504352902</v>
      </c>
    </row>
    <row r="51" spans="1:8">
      <c r="A51" s="14">
        <v>35</v>
      </c>
      <c r="B51" s="14">
        <v>264</v>
      </c>
      <c r="C51">
        <f t="shared" si="0"/>
        <v>234.68610324336996</v>
      </c>
      <c r="D51">
        <f t="shared" si="1"/>
        <v>4.2629463074736478</v>
      </c>
      <c r="E51">
        <f t="shared" si="2"/>
        <v>1.0480526558060541</v>
      </c>
      <c r="F51">
        <f t="shared" si="3"/>
        <v>237.96824501547482</v>
      </c>
      <c r="G51">
        <f t="shared" si="4"/>
        <v>26.031754984525179</v>
      </c>
      <c r="H51">
        <f t="shared" si="5"/>
        <v>677.65226757435153</v>
      </c>
    </row>
    <row r="52" spans="1:8">
      <c r="A52" s="14">
        <v>36</v>
      </c>
      <c r="B52" s="14">
        <v>304</v>
      </c>
      <c r="C52">
        <f t="shared" si="0"/>
        <v>243.10809420875387</v>
      </c>
      <c r="D52">
        <f t="shared" si="1"/>
        <v>5.2146427423936332</v>
      </c>
      <c r="E52">
        <f t="shared" si="2"/>
        <v>1.2040049076184032</v>
      </c>
      <c r="F52">
        <f t="shared" si="3"/>
        <v>287.69582832996866</v>
      </c>
      <c r="G52">
        <f t="shared" si="4"/>
        <v>16.304171670031337</v>
      </c>
      <c r="H52">
        <f t="shared" si="5"/>
        <v>265.82601384585246</v>
      </c>
    </row>
    <row r="53" spans="1:8">
      <c r="A53" s="22">
        <v>37</v>
      </c>
      <c r="B53" s="19">
        <f ca="1">F53+G53</f>
        <v>256.03630588463005</v>
      </c>
      <c r="C53">
        <f t="shared" ref="C53:C64" ca="1" si="6">C52+D52+C$2*G53/E41</f>
        <v>251.62811249391669</v>
      </c>
      <c r="D53">
        <f t="shared" ref="D53:D64" ca="1" si="7">D52+D$2*C$2*G53/E41</f>
        <v>5.9709977178426659</v>
      </c>
      <c r="E53">
        <f t="shared" ref="E53:E64" ca="1" si="8">E41+E$2*(1-C$2)*G53/(C52+D52)</f>
        <v>0.98823339924446252</v>
      </c>
      <c r="F53">
        <f t="shared" ref="F53:F64" si="9">(C52+D52)*E41</f>
        <v>245.40082244692098</v>
      </c>
      <c r="G53">
        <f ca="1">NORMINV(RAND(), 0, $H$2)</f>
        <v>10.635483437709091</v>
      </c>
      <c r="H53">
        <f t="shared" ca="1" si="5"/>
        <v>113.11350795378438</v>
      </c>
    </row>
    <row r="54" spans="1:8">
      <c r="A54" s="22">
        <v>38</v>
      </c>
      <c r="B54" s="19">
        <f t="shared" ref="B54:B64" ca="1" si="10">F54+G54</f>
        <v>253.76757783228757</v>
      </c>
      <c r="C54">
        <f t="shared" ca="1" si="6"/>
        <v>253.4636125809119</v>
      </c>
      <c r="D54">
        <f t="shared" ca="1" si="7"/>
        <v>5.024689448607802</v>
      </c>
      <c r="E54">
        <f t="shared" ca="1" si="8"/>
        <v>1.0394595142086607</v>
      </c>
      <c r="F54">
        <f t="shared" ca="1" si="9"/>
        <v>267.76384596129861</v>
      </c>
      <c r="G54">
        <f t="shared" ref="G54:G64" ca="1" si="11">NORMINV(RAND(), 0, $H$2)</f>
        <v>-13.996268129011032</v>
      </c>
      <c r="H54">
        <f t="shared" ca="1" si="5"/>
        <v>195.89552153916998</v>
      </c>
    </row>
    <row r="55" spans="1:8">
      <c r="A55" s="22">
        <v>39</v>
      </c>
      <c r="B55" s="19">
        <f t="shared" ca="1" si="10"/>
        <v>231.90381260706548</v>
      </c>
      <c r="C55">
        <f t="shared" ca="1" si="6"/>
        <v>255.44359707504472</v>
      </c>
      <c r="D55">
        <f t="shared" ca="1" si="7"/>
        <v>4.3279826111262913</v>
      </c>
      <c r="E55">
        <f t="shared" ca="1" si="8"/>
        <v>0.93293329171244777</v>
      </c>
      <c r="F55">
        <f t="shared" ca="1" si="9"/>
        <v>241.15234248156119</v>
      </c>
      <c r="G55">
        <f t="shared" ca="1" si="11"/>
        <v>-9.2485298744957269</v>
      </c>
      <c r="H55">
        <f t="shared" ca="1" si="5"/>
        <v>85.535304839439945</v>
      </c>
    </row>
    <row r="56" spans="1:8">
      <c r="A56" s="14">
        <v>40</v>
      </c>
      <c r="B56" s="19">
        <f t="shared" ca="1" si="10"/>
        <v>239.74613787997416</v>
      </c>
      <c r="C56">
        <f t="shared" ca="1" si="6"/>
        <v>260.67324454706005</v>
      </c>
      <c r="D56">
        <f t="shared" ca="1" si="7"/>
        <v>4.5343067322122792</v>
      </c>
      <c r="E56">
        <f t="shared" ca="1" si="8"/>
        <v>0.91259775591054715</v>
      </c>
      <c r="F56">
        <f t="shared" ca="1" si="9"/>
        <v>237.06696067093756</v>
      </c>
      <c r="G56">
        <f t="shared" ca="1" si="11"/>
        <v>2.6791772090365917</v>
      </c>
      <c r="H56">
        <f t="shared" ca="1" si="5"/>
        <v>7.1779905174211009</v>
      </c>
    </row>
    <row r="57" spans="1:8">
      <c r="A57" s="14">
        <v>41</v>
      </c>
      <c r="B57" s="19">
        <f t="shared" ca="1" si="10"/>
        <v>284.35901914989739</v>
      </c>
      <c r="C57">
        <f t="shared" ca="1" si="6"/>
        <v>267.48810705729852</v>
      </c>
      <c r="D57">
        <f t="shared" ca="1" si="7"/>
        <v>5.0561565756506628</v>
      </c>
      <c r="E57">
        <f t="shared" ca="1" si="8"/>
        <v>1.0430106047420362</v>
      </c>
      <c r="F57">
        <f t="shared" ca="1" si="9"/>
        <v>276.61428844194842</v>
      </c>
      <c r="G57">
        <f t="shared" ca="1" si="11"/>
        <v>7.7447307079489534</v>
      </c>
      <c r="H57">
        <f t="shared" ca="1" si="5"/>
        <v>59.980853738647497</v>
      </c>
    </row>
    <row r="58" spans="1:8">
      <c r="A58" s="22">
        <v>42</v>
      </c>
      <c r="B58" s="19">
        <f t="shared" ca="1" si="10"/>
        <v>233.83239864537683</v>
      </c>
      <c r="C58">
        <f t="shared" ca="1" si="6"/>
        <v>268.06719356077798</v>
      </c>
      <c r="D58">
        <f t="shared" ca="1" si="7"/>
        <v>4.0316877427737507</v>
      </c>
      <c r="E58">
        <f t="shared" ca="1" si="8"/>
        <v>0.90644245153667458</v>
      </c>
      <c r="F58">
        <f t="shared" ca="1" si="9"/>
        <v>247.04569047970821</v>
      </c>
      <c r="G58">
        <f t="shared" ca="1" si="11"/>
        <v>-13.213291834331395</v>
      </c>
      <c r="H58">
        <f t="shared" ca="1" si="5"/>
        <v>174.59108109920871</v>
      </c>
    </row>
    <row r="59" spans="1:8">
      <c r="A59" s="22">
        <v>43</v>
      </c>
      <c r="B59" s="19">
        <f t="shared" ca="1" si="10"/>
        <v>245.40893926494601</v>
      </c>
      <c r="C59">
        <f t="shared" ca="1" si="6"/>
        <v>270.38120185733459</v>
      </c>
      <c r="D59">
        <f t="shared" ca="1" si="7"/>
        <v>3.6386384875340863</v>
      </c>
      <c r="E59">
        <f t="shared" ca="1" si="8"/>
        <v>0.92083758937691518</v>
      </c>
      <c r="F59">
        <f t="shared" ca="1" si="9"/>
        <v>250.55887793171792</v>
      </c>
      <c r="G59">
        <f t="shared" ca="1" si="11"/>
        <v>-5.1499386667718881</v>
      </c>
      <c r="H59">
        <f t="shared" ca="1" si="5"/>
        <v>26.521868271512211</v>
      </c>
    </row>
    <row r="60" spans="1:8">
      <c r="A60" s="22">
        <v>44</v>
      </c>
      <c r="B60" s="19">
        <f t="shared" ca="1" si="10"/>
        <v>246.83716847461167</v>
      </c>
      <c r="C60">
        <f t="shared" ca="1" si="6"/>
        <v>271.67469805653815</v>
      </c>
      <c r="D60">
        <f t="shared" ca="1" si="7"/>
        <v>3.1020095886499717</v>
      </c>
      <c r="E60">
        <f t="shared" ca="1" si="8"/>
        <v>0.92662094367181047</v>
      </c>
      <c r="F60">
        <f t="shared" ca="1" si="9"/>
        <v>253.91252304516104</v>
      </c>
      <c r="G60">
        <f t="shared" ca="1" si="11"/>
        <v>-7.0753545705493686</v>
      </c>
      <c r="H60">
        <f t="shared" ca="1" si="5"/>
        <v>50.060642298993841</v>
      </c>
    </row>
    <row r="61" spans="1:8">
      <c r="A61" s="14">
        <v>45</v>
      </c>
      <c r="B61" s="19">
        <f t="shared" ca="1" si="10"/>
        <v>287.50833378094785</v>
      </c>
      <c r="C61">
        <f t="shared" ca="1" si="6"/>
        <v>279.71510929218437</v>
      </c>
      <c r="D61">
        <f t="shared" ca="1" si="7"/>
        <v>4.2320429564596749</v>
      </c>
      <c r="E61">
        <f t="shared" ca="1" si="8"/>
        <v>0.98849075287229571</v>
      </c>
      <c r="F61">
        <f t="shared" ca="1" si="9"/>
        <v>271.61423461196273</v>
      </c>
      <c r="G61">
        <f t="shared" ca="1" si="11"/>
        <v>15.894099168985141</v>
      </c>
      <c r="H61">
        <f t="shared" ca="1" si="5"/>
        <v>252.62238839353415</v>
      </c>
    </row>
    <row r="62" spans="1:8">
      <c r="A62" s="14">
        <v>46</v>
      </c>
      <c r="B62" s="19">
        <f t="shared" ca="1" si="10"/>
        <v>268.75701659672592</v>
      </c>
      <c r="C62">
        <f t="shared" ca="1" si="6"/>
        <v>277.96579304828253</v>
      </c>
      <c r="D62">
        <f t="shared" ca="1" si="7"/>
        <v>2.8633540638955628</v>
      </c>
      <c r="E62">
        <f t="shared" ca="1" si="8"/>
        <v>1.0162014531884298</v>
      </c>
      <c r="F62">
        <f t="shared" ca="1" si="9"/>
        <v>288.5475087437884</v>
      </c>
      <c r="G62">
        <f t="shared" ca="1" si="11"/>
        <v>-19.790492147062498</v>
      </c>
      <c r="H62">
        <f t="shared" ca="1" si="5"/>
        <v>391.66357942294241</v>
      </c>
    </row>
    <row r="63" spans="1:8">
      <c r="A63" s="22">
        <v>47</v>
      </c>
      <c r="B63" s="19">
        <f t="shared" ca="1" si="10"/>
        <v>286.85487249204027</v>
      </c>
      <c r="C63">
        <f t="shared" ca="1" si="6"/>
        <v>278.64040611072187</v>
      </c>
      <c r="D63">
        <f t="shared" ca="1" si="7"/>
        <v>2.3625138038403426</v>
      </c>
      <c r="E63">
        <f t="shared" ca="1" si="8"/>
        <v>1.0480526558060541</v>
      </c>
      <c r="F63">
        <f t="shared" ca="1" si="9"/>
        <v>294.32373345866728</v>
      </c>
      <c r="G63">
        <f t="shared" ca="1" si="11"/>
        <v>-7.4688609666269814</v>
      </c>
      <c r="H63">
        <f t="shared" ca="1" si="5"/>
        <v>55.783884138804126</v>
      </c>
    </row>
    <row r="64" spans="1:8">
      <c r="A64" s="22">
        <v>48</v>
      </c>
      <c r="B64" s="19">
        <f t="shared" ca="1" si="10"/>
        <v>335.94588614904404</v>
      </c>
      <c r="C64">
        <f t="shared" ca="1" si="6"/>
        <v>280.395036306468</v>
      </c>
      <c r="D64">
        <f t="shared" ca="1" si="7"/>
        <v>2.2234143927365846</v>
      </c>
      <c r="E64">
        <f t="shared" ca="1" si="8"/>
        <v>1.2040049076184032</v>
      </c>
      <c r="F64">
        <f t="shared" ca="1" si="9"/>
        <v>338.32889463223398</v>
      </c>
      <c r="G64">
        <f t="shared" ca="1" si="11"/>
        <v>-2.3830084831899261</v>
      </c>
      <c r="H64">
        <f t="shared" ca="1" si="5"/>
        <v>5.6787294309551521</v>
      </c>
    </row>
    <row r="66" spans="1:12">
      <c r="A66" s="19">
        <f>PERCENTILE(A71:A1147, 0.975)</f>
        <v>265.35379750497583</v>
      </c>
      <c r="B66" s="19">
        <f t="shared" ref="B66:L66" si="12">PERCENTILE(B71:B1147, 0.975)</f>
        <v>285.87107872588473</v>
      </c>
      <c r="C66" s="19">
        <f t="shared" si="12"/>
        <v>264.47612199675058</v>
      </c>
      <c r="D66" s="19">
        <f t="shared" si="12"/>
        <v>267.2551190613238</v>
      </c>
      <c r="E66" s="19">
        <f t="shared" si="12"/>
        <v>311.81217527429595</v>
      </c>
      <c r="F66" s="19">
        <f t="shared" si="12"/>
        <v>279.21521593368277</v>
      </c>
      <c r="G66" s="19">
        <f t="shared" si="12"/>
        <v>290.56484511001668</v>
      </c>
      <c r="H66" s="19">
        <f t="shared" si="12"/>
        <v>300.62733821696747</v>
      </c>
      <c r="I66" s="19">
        <f t="shared" si="12"/>
        <v>329.73700192663017</v>
      </c>
      <c r="J66" s="19">
        <f t="shared" si="12"/>
        <v>349.98616096616371</v>
      </c>
      <c r="K66" s="19">
        <f t="shared" si="12"/>
        <v>371.25094838848497</v>
      </c>
      <c r="L66" s="19">
        <f t="shared" si="12"/>
        <v>439.42747424871737</v>
      </c>
    </row>
    <row r="67" spans="1:12">
      <c r="A67" s="19">
        <f>PERCENTILE(A71:A1147, 0.025)</f>
        <v>224.90409466019412</v>
      </c>
      <c r="B67" s="19">
        <f t="shared" ref="B67:L67" si="13">PERCENTILE(B71:B1147, 0.025)</f>
        <v>239.69772141514193</v>
      </c>
      <c r="C67" s="19">
        <f t="shared" si="13"/>
        <v>217.59035474490656</v>
      </c>
      <c r="D67" s="19">
        <f t="shared" si="13"/>
        <v>215.90525599526802</v>
      </c>
      <c r="E67" s="19">
        <f t="shared" si="13"/>
        <v>251.44636843533871</v>
      </c>
      <c r="F67" s="19">
        <f t="shared" si="13"/>
        <v>218.93209168237996</v>
      </c>
      <c r="G67" s="19">
        <f t="shared" si="13"/>
        <v>221.10597063676033</v>
      </c>
      <c r="H67" s="19">
        <f t="shared" si="13"/>
        <v>226.2314697121154</v>
      </c>
      <c r="I67" s="19">
        <f t="shared" si="13"/>
        <v>244.01491484575618</v>
      </c>
      <c r="J67" s="19">
        <f t="shared" si="13"/>
        <v>251.80637622457701</v>
      </c>
      <c r="K67" s="19">
        <f t="shared" si="13"/>
        <v>261.9260791368522</v>
      </c>
      <c r="L67" s="19">
        <f t="shared" si="13"/>
        <v>299.47637849550273</v>
      </c>
    </row>
    <row r="69" spans="1:12">
      <c r="A69" t="s">
        <v>57</v>
      </c>
    </row>
    <row r="70" spans="1:12">
      <c r="A70" s="34">
        <v>37</v>
      </c>
      <c r="B70" s="34">
        <v>38</v>
      </c>
      <c r="C70" s="34">
        <v>39</v>
      </c>
      <c r="D70" s="34">
        <v>40</v>
      </c>
      <c r="E70" s="34">
        <v>41</v>
      </c>
      <c r="F70" s="34">
        <v>42</v>
      </c>
      <c r="G70" s="34">
        <v>43</v>
      </c>
      <c r="H70" s="34">
        <v>44</v>
      </c>
      <c r="I70" s="34">
        <v>45</v>
      </c>
      <c r="J70" s="34">
        <v>46</v>
      </c>
      <c r="K70" s="34">
        <v>47</v>
      </c>
      <c r="L70" s="34">
        <v>48</v>
      </c>
    </row>
    <row r="71" spans="1:12">
      <c r="A71" s="35">
        <v>246.50727881997526</v>
      </c>
      <c r="B71" s="35">
        <v>267.74154465301706</v>
      </c>
      <c r="C71" s="35">
        <v>248.28010685318614</v>
      </c>
      <c r="D71" s="35">
        <v>257.94320917846352</v>
      </c>
      <c r="E71" s="35">
        <v>297.71016667143863</v>
      </c>
      <c r="F71" s="35">
        <v>284.79826118949165</v>
      </c>
      <c r="G71" s="35">
        <v>277.38004468989641</v>
      </c>
      <c r="H71" s="35">
        <v>277.10892105208364</v>
      </c>
      <c r="I71" s="35">
        <v>322.4556353699125</v>
      </c>
      <c r="J71" s="35">
        <v>337.58295288217079</v>
      </c>
      <c r="K71" s="35">
        <v>363.24496987112775</v>
      </c>
      <c r="L71" s="35">
        <v>415.23323890575512</v>
      </c>
    </row>
    <row r="72" spans="1:12">
      <c r="A72" s="35">
        <v>267.59329471434569</v>
      </c>
      <c r="B72" s="35">
        <v>268.94315949126428</v>
      </c>
      <c r="C72" s="35">
        <v>253.14857404831235</v>
      </c>
      <c r="D72" s="35">
        <v>254.37099782043703</v>
      </c>
      <c r="E72" s="35">
        <v>297.99213165459031</v>
      </c>
      <c r="F72" s="35">
        <v>246.36383682905171</v>
      </c>
      <c r="G72" s="35">
        <v>273.34486987554607</v>
      </c>
      <c r="H72" s="35">
        <v>297.1313221718035</v>
      </c>
      <c r="I72" s="35">
        <v>312.65795618008491</v>
      </c>
      <c r="J72" s="35">
        <v>329.58149162714227</v>
      </c>
      <c r="K72" s="35">
        <v>328.8344303670446</v>
      </c>
      <c r="L72" s="35">
        <v>397.73558840478614</v>
      </c>
    </row>
    <row r="73" spans="1:12">
      <c r="A73" s="35">
        <v>237.9801047585245</v>
      </c>
      <c r="B73" s="35">
        <v>258.15332954124432</v>
      </c>
      <c r="C73" s="35">
        <v>241.90946832385009</v>
      </c>
      <c r="D73" s="35">
        <v>221.76560784522144</v>
      </c>
      <c r="E73" s="35">
        <v>276.47466085380256</v>
      </c>
      <c r="F73" s="35">
        <v>243.67802579981307</v>
      </c>
      <c r="G73" s="35">
        <v>236.01658175301674</v>
      </c>
      <c r="H73" s="35">
        <v>258.68354329385977</v>
      </c>
      <c r="I73" s="35">
        <v>278.8455415939884</v>
      </c>
      <c r="J73" s="35">
        <v>311.77830847916061</v>
      </c>
      <c r="K73" s="35">
        <v>295.20598224720288</v>
      </c>
      <c r="L73" s="35">
        <v>358.9743975924419</v>
      </c>
    </row>
    <row r="74" spans="1:12">
      <c r="A74" s="35">
        <v>249.5525425523391</v>
      </c>
      <c r="B74" s="35">
        <v>285.27071782973144</v>
      </c>
      <c r="C74" s="35">
        <v>269.05350345445288</v>
      </c>
      <c r="D74" s="35">
        <v>262.26564970325956</v>
      </c>
      <c r="E74" s="35">
        <v>305.57472054941212</v>
      </c>
      <c r="F74" s="35">
        <v>279.35082277047826</v>
      </c>
      <c r="G74" s="35">
        <v>264.91778142064044</v>
      </c>
      <c r="H74" s="35">
        <v>290.91995964521925</v>
      </c>
      <c r="I74" s="35">
        <v>304.87589676578659</v>
      </c>
      <c r="J74" s="35">
        <v>332.40587048334174</v>
      </c>
      <c r="K74" s="35">
        <v>338.79175286737325</v>
      </c>
      <c r="L74" s="35">
        <v>391.79302514864474</v>
      </c>
    </row>
    <row r="75" spans="1:12">
      <c r="A75" s="35">
        <v>237.95708337614721</v>
      </c>
      <c r="B75" s="35">
        <v>281.98789536265275</v>
      </c>
      <c r="C75" s="35">
        <v>251.41315031537167</v>
      </c>
      <c r="D75" s="35">
        <v>249.76914005046922</v>
      </c>
      <c r="E75" s="35">
        <v>289.43932443666955</v>
      </c>
      <c r="F75" s="35">
        <v>268.81781996451423</v>
      </c>
      <c r="G75" s="35">
        <v>249.42247187863569</v>
      </c>
      <c r="H75" s="35">
        <v>279.82697324513117</v>
      </c>
      <c r="I75" s="35">
        <v>291.48211283060897</v>
      </c>
      <c r="J75" s="35">
        <v>323.49281576626038</v>
      </c>
      <c r="K75" s="35">
        <v>330.92291282887402</v>
      </c>
      <c r="L75" s="35">
        <v>387.88604001855697</v>
      </c>
    </row>
    <row r="76" spans="1:12">
      <c r="A76" s="35">
        <v>231.13671754102373</v>
      </c>
      <c r="B76" s="35">
        <v>254.41331906902914</v>
      </c>
      <c r="C76" s="35">
        <v>223.65154150917596</v>
      </c>
      <c r="D76" s="35">
        <v>221.70657901813675</v>
      </c>
      <c r="E76" s="35">
        <v>273.27946907052836</v>
      </c>
      <c r="F76" s="35">
        <v>244.03208088205125</v>
      </c>
      <c r="G76" s="35">
        <v>257.32039285385179</v>
      </c>
      <c r="H76" s="35">
        <v>249.16324902044587</v>
      </c>
      <c r="I76" s="35">
        <v>281.79608809581515</v>
      </c>
      <c r="J76" s="35">
        <v>284.10522407853449</v>
      </c>
      <c r="K76" s="35">
        <v>314.8184251611433</v>
      </c>
      <c r="L76" s="35">
        <v>368.69826043650653</v>
      </c>
    </row>
    <row r="77" spans="1:12">
      <c r="A77" s="35">
        <v>244.7629903681555</v>
      </c>
      <c r="B77" s="35">
        <v>271.22810669122003</v>
      </c>
      <c r="C77" s="35">
        <v>247.73173972550003</v>
      </c>
      <c r="D77" s="35">
        <v>240.09808789040707</v>
      </c>
      <c r="E77" s="35">
        <v>288.76820557134397</v>
      </c>
      <c r="F77" s="35">
        <v>241.33005321871684</v>
      </c>
      <c r="G77" s="35">
        <v>255.50915211271314</v>
      </c>
      <c r="H77" s="35">
        <v>260.07597665403495</v>
      </c>
      <c r="I77" s="35">
        <v>267.35880591434358</v>
      </c>
      <c r="J77" s="35">
        <v>299.1257112803433</v>
      </c>
      <c r="K77" s="35">
        <v>326.93320649138212</v>
      </c>
      <c r="L77" s="35">
        <v>376.19796308834276</v>
      </c>
    </row>
    <row r="78" spans="1:12">
      <c r="A78" s="35">
        <v>242.33534191900111</v>
      </c>
      <c r="B78" s="35">
        <v>267.19967592700942</v>
      </c>
      <c r="C78" s="35">
        <v>230.12218924899091</v>
      </c>
      <c r="D78" s="35">
        <v>230.09988457366009</v>
      </c>
      <c r="E78" s="35">
        <v>270.54385622736447</v>
      </c>
      <c r="F78" s="35">
        <v>243.06163917040811</v>
      </c>
      <c r="G78" s="35">
        <v>248.4187825825299</v>
      </c>
      <c r="H78" s="35">
        <v>254.38206442353112</v>
      </c>
      <c r="I78" s="35">
        <v>278.35935806806941</v>
      </c>
      <c r="J78" s="35">
        <v>281.26040082712217</v>
      </c>
      <c r="K78" s="35">
        <v>288.54859331645611</v>
      </c>
      <c r="L78" s="35">
        <v>343.39421920704626</v>
      </c>
    </row>
    <row r="79" spans="1:12">
      <c r="A79" s="35">
        <v>249.19467897205581</v>
      </c>
      <c r="B79" s="35">
        <v>256.5147417838466</v>
      </c>
      <c r="C79" s="35">
        <v>257.14448570998195</v>
      </c>
      <c r="D79" s="35">
        <v>260.73872398498878</v>
      </c>
      <c r="E79" s="35">
        <v>314.87482166668605</v>
      </c>
      <c r="F79" s="35">
        <v>272.06391821669621</v>
      </c>
      <c r="G79" s="35">
        <v>282.3814198732224</v>
      </c>
      <c r="H79" s="35">
        <v>286.15441837387965</v>
      </c>
      <c r="I79" s="35">
        <v>323.4774096829978</v>
      </c>
      <c r="J79" s="35">
        <v>344.94002278298785</v>
      </c>
      <c r="K79" s="35">
        <v>355.94581024933564</v>
      </c>
      <c r="L79" s="35">
        <v>423.0597987864561</v>
      </c>
    </row>
    <row r="80" spans="1:12">
      <c r="A80" s="35">
        <v>240.5621084605128</v>
      </c>
      <c r="B80" s="35">
        <v>256.1506454179605</v>
      </c>
      <c r="C80" s="35">
        <v>231.97983234928148</v>
      </c>
      <c r="D80" s="35">
        <v>238.01459728196357</v>
      </c>
      <c r="E80" s="35">
        <v>268.54754841854594</v>
      </c>
      <c r="F80" s="35">
        <v>239.64643228597637</v>
      </c>
      <c r="G80" s="35">
        <v>234.99959585520634</v>
      </c>
      <c r="H80" s="35">
        <v>239.25584592443988</v>
      </c>
      <c r="I80" s="35">
        <v>268.70691389682281</v>
      </c>
      <c r="J80" s="35">
        <v>278.86293991849868</v>
      </c>
      <c r="K80" s="35">
        <v>288.62592558093831</v>
      </c>
      <c r="L80" s="35">
        <v>333.70173342699837</v>
      </c>
    </row>
    <row r="81" spans="1:12">
      <c r="A81" s="35">
        <v>242.21595645664405</v>
      </c>
      <c r="B81" s="35">
        <v>264.85266180523109</v>
      </c>
      <c r="C81" s="35">
        <v>241.30356814362477</v>
      </c>
      <c r="D81" s="35">
        <v>238.64798604658901</v>
      </c>
      <c r="E81" s="35">
        <v>264.24699811885586</v>
      </c>
      <c r="F81" s="35">
        <v>228.18679160898733</v>
      </c>
      <c r="G81" s="35">
        <v>254.06745407772621</v>
      </c>
      <c r="H81" s="35">
        <v>262.46371975824547</v>
      </c>
      <c r="I81" s="35">
        <v>278.94471171583007</v>
      </c>
      <c r="J81" s="35">
        <v>284.56701105470484</v>
      </c>
      <c r="K81" s="35">
        <v>327.7308589572749</v>
      </c>
      <c r="L81" s="35">
        <v>346.35683983329011</v>
      </c>
    </row>
    <row r="82" spans="1:12">
      <c r="A82" s="35">
        <v>231.11408788609958</v>
      </c>
      <c r="B82" s="35">
        <v>270.13989849206126</v>
      </c>
      <c r="C82" s="35">
        <v>238.71333015123906</v>
      </c>
      <c r="D82" s="35">
        <v>250.55076606555718</v>
      </c>
      <c r="E82" s="35">
        <v>293.32726457669344</v>
      </c>
      <c r="F82" s="35">
        <v>253.57482155131137</v>
      </c>
      <c r="G82" s="35">
        <v>250.60305685814646</v>
      </c>
      <c r="H82" s="35">
        <v>268.76649368486778</v>
      </c>
      <c r="I82" s="35">
        <v>305.72642486423445</v>
      </c>
      <c r="J82" s="35">
        <v>321.57651857898998</v>
      </c>
      <c r="K82" s="35">
        <v>341.24351199978884</v>
      </c>
      <c r="L82" s="35">
        <v>401.41280053728326</v>
      </c>
    </row>
    <row r="83" spans="1:12">
      <c r="A83" s="35">
        <v>239.0956264290021</v>
      </c>
      <c r="B83" s="35">
        <v>261.19298584447984</v>
      </c>
      <c r="C83" s="35">
        <v>224.07618225349705</v>
      </c>
      <c r="D83" s="35">
        <v>248.30792078175287</v>
      </c>
      <c r="E83" s="35">
        <v>277.96595047930043</v>
      </c>
      <c r="F83" s="35">
        <v>258.22221749496566</v>
      </c>
      <c r="G83" s="35">
        <v>247.76600241537562</v>
      </c>
      <c r="H83" s="35">
        <v>264.56087432785137</v>
      </c>
      <c r="I83" s="35">
        <v>292.40422943292344</v>
      </c>
      <c r="J83" s="35">
        <v>287.53128811838053</v>
      </c>
      <c r="K83" s="35">
        <v>321.65683769548485</v>
      </c>
      <c r="L83" s="35">
        <v>389.86090130559933</v>
      </c>
    </row>
    <row r="84" spans="1:12">
      <c r="A84" s="35">
        <v>244.38826566318983</v>
      </c>
      <c r="B84" s="35">
        <v>280.17022005431414</v>
      </c>
      <c r="C84" s="35">
        <v>248.22590783520275</v>
      </c>
      <c r="D84" s="35">
        <v>259.93071374859625</v>
      </c>
      <c r="E84" s="35">
        <v>293.28172391562879</v>
      </c>
      <c r="F84" s="35">
        <v>261.07249480428237</v>
      </c>
      <c r="G84" s="35">
        <v>285.16632729636575</v>
      </c>
      <c r="H84" s="35">
        <v>282.00669498125916</v>
      </c>
      <c r="I84" s="35">
        <v>302.32625436657605</v>
      </c>
      <c r="J84" s="35">
        <v>317.13924149510217</v>
      </c>
      <c r="K84" s="35">
        <v>338.85948458597477</v>
      </c>
      <c r="L84" s="35">
        <v>401.76071415936519</v>
      </c>
    </row>
    <row r="85" spans="1:12">
      <c r="A85" s="35">
        <v>242.24422328962203</v>
      </c>
      <c r="B85" s="35">
        <v>258.24337232076982</v>
      </c>
      <c r="C85" s="35">
        <v>232.85790145015167</v>
      </c>
      <c r="D85" s="35">
        <v>208.87981241521464</v>
      </c>
      <c r="E85" s="35">
        <v>251.77209238564242</v>
      </c>
      <c r="F85" s="35">
        <v>219.64395278678944</v>
      </c>
      <c r="G85" s="35">
        <v>229.29347771304634</v>
      </c>
      <c r="H85" s="35">
        <v>233.71021970061085</v>
      </c>
      <c r="I85" s="35">
        <v>234.45838267972647</v>
      </c>
      <c r="J85" s="35">
        <v>240.79703875167451</v>
      </c>
      <c r="K85" s="35">
        <v>264.73285533898576</v>
      </c>
      <c r="L85" s="35">
        <v>303.66009099302158</v>
      </c>
    </row>
    <row r="86" spans="1:12">
      <c r="A86" s="35">
        <v>232.15888523171336</v>
      </c>
      <c r="B86" s="35">
        <v>253.41745022867303</v>
      </c>
      <c r="C86" s="35">
        <v>215.11712091113765</v>
      </c>
      <c r="D86" s="35">
        <v>224.23750852350028</v>
      </c>
      <c r="E86" s="35">
        <v>261.12968291590022</v>
      </c>
      <c r="F86" s="35">
        <v>228.93366393249266</v>
      </c>
      <c r="G86" s="35">
        <v>247.31750290953369</v>
      </c>
      <c r="H86" s="35">
        <v>225.1147371444803</v>
      </c>
      <c r="I86" s="35">
        <v>249.24066130367939</v>
      </c>
      <c r="J86" s="35">
        <v>275.75670920033508</v>
      </c>
      <c r="K86" s="35">
        <v>280.34121033481205</v>
      </c>
      <c r="L86" s="35">
        <v>330.04337369826936</v>
      </c>
    </row>
    <row r="87" spans="1:12">
      <c r="A87" s="35">
        <v>250.05437665197235</v>
      </c>
      <c r="B87" s="35">
        <v>259.58165604041363</v>
      </c>
      <c r="C87" s="35">
        <v>246.30483519790232</v>
      </c>
      <c r="D87" s="35">
        <v>245.21388891094011</v>
      </c>
      <c r="E87" s="35">
        <v>299.80725529127443</v>
      </c>
      <c r="F87" s="35">
        <v>260.37431480841025</v>
      </c>
      <c r="G87" s="35">
        <v>282.72162809204713</v>
      </c>
      <c r="H87" s="35">
        <v>277.69581521105846</v>
      </c>
      <c r="I87" s="35">
        <v>315.17376132488204</v>
      </c>
      <c r="J87" s="35">
        <v>317.09843862435963</v>
      </c>
      <c r="K87" s="35">
        <v>331.74800696604598</v>
      </c>
      <c r="L87" s="35">
        <v>400.20001578463888</v>
      </c>
    </row>
    <row r="88" spans="1:12">
      <c r="A88" s="35">
        <v>249.07254290459474</v>
      </c>
      <c r="B88" s="35">
        <v>257.59456655898089</v>
      </c>
      <c r="C88" s="35">
        <v>237.75537220944113</v>
      </c>
      <c r="D88" s="35">
        <v>230.86285589792934</v>
      </c>
      <c r="E88" s="35">
        <v>288.70234705374713</v>
      </c>
      <c r="F88" s="35">
        <v>238.9207621653286</v>
      </c>
      <c r="G88" s="35">
        <v>263.91613743657922</v>
      </c>
      <c r="H88" s="35">
        <v>251.33769586613016</v>
      </c>
      <c r="I88" s="35">
        <v>270.22691474437295</v>
      </c>
      <c r="J88" s="35">
        <v>279.23198479127069</v>
      </c>
      <c r="K88" s="35">
        <v>281.48824885688873</v>
      </c>
      <c r="L88" s="35">
        <v>337.88557363675227</v>
      </c>
    </row>
    <row r="89" spans="1:12">
      <c r="A89" s="35">
        <v>217.61560154983781</v>
      </c>
      <c r="B89" s="35">
        <v>233.15252319379215</v>
      </c>
      <c r="C89" s="35">
        <v>224.072146176258</v>
      </c>
      <c r="D89" s="35">
        <v>211.7287470938889</v>
      </c>
      <c r="E89" s="35">
        <v>253.68034233771684</v>
      </c>
      <c r="F89" s="35">
        <v>218.57423080194894</v>
      </c>
      <c r="G89" s="35">
        <v>232.87516770520887</v>
      </c>
      <c r="H89" s="35">
        <v>235.23135236436775</v>
      </c>
      <c r="I89" s="35">
        <v>254.23117047767005</v>
      </c>
      <c r="J89" s="35">
        <v>244.88663734486855</v>
      </c>
      <c r="K89" s="35">
        <v>288.19129169811089</v>
      </c>
      <c r="L89" s="35">
        <v>324.06981151998423</v>
      </c>
    </row>
    <row r="90" spans="1:12">
      <c r="A90" s="35">
        <v>253.79931365179357</v>
      </c>
      <c r="B90" s="35">
        <v>259.7079061097138</v>
      </c>
      <c r="C90" s="35">
        <v>257.01128637872796</v>
      </c>
      <c r="D90" s="35">
        <v>255.56787329411307</v>
      </c>
      <c r="E90" s="35">
        <v>280.73645280097833</v>
      </c>
      <c r="F90" s="35">
        <v>247.25747190750999</v>
      </c>
      <c r="G90" s="35">
        <v>279.558640520974</v>
      </c>
      <c r="H90" s="35">
        <v>277.56526225107825</v>
      </c>
      <c r="I90" s="35">
        <v>291.82691552552336</v>
      </c>
      <c r="J90" s="35">
        <v>301.16929960757619</v>
      </c>
      <c r="K90" s="35">
        <v>306.80782908559053</v>
      </c>
      <c r="L90" s="35">
        <v>368.33247480493839</v>
      </c>
    </row>
    <row r="91" spans="1:12">
      <c r="A91" s="35">
        <v>235.70554902651631</v>
      </c>
      <c r="B91" s="35">
        <v>236.6774443929163</v>
      </c>
      <c r="C91" s="35">
        <v>223.89874969656455</v>
      </c>
      <c r="D91" s="35">
        <v>209.63746242718651</v>
      </c>
      <c r="E91" s="35">
        <v>246.93389906771117</v>
      </c>
      <c r="F91" s="35">
        <v>205.70265815266455</v>
      </c>
      <c r="G91" s="35">
        <v>223.97447006478572</v>
      </c>
      <c r="H91" s="35">
        <v>200.76418985307899</v>
      </c>
      <c r="I91" s="35">
        <v>222.88272621289121</v>
      </c>
      <c r="J91" s="35">
        <v>253.63237290664347</v>
      </c>
      <c r="K91" s="35">
        <v>254.86214440407525</v>
      </c>
      <c r="L91" s="35">
        <v>277.28445479533025</v>
      </c>
    </row>
    <row r="92" spans="1:12">
      <c r="A92" s="35">
        <v>243.32718390856357</v>
      </c>
      <c r="B92" s="35">
        <v>274.04782634188899</v>
      </c>
      <c r="C92" s="35">
        <v>249.31426565073187</v>
      </c>
      <c r="D92" s="35">
        <v>254.52639721338258</v>
      </c>
      <c r="E92" s="35">
        <v>301.95200824478894</v>
      </c>
      <c r="F92" s="35">
        <v>250.0090646437593</v>
      </c>
      <c r="G92" s="35">
        <v>270.69527723730448</v>
      </c>
      <c r="H92" s="35">
        <v>270.74108141093069</v>
      </c>
      <c r="I92" s="35">
        <v>303.2027205396555</v>
      </c>
      <c r="J92" s="35">
        <v>319.62208324180375</v>
      </c>
      <c r="K92" s="35">
        <v>317.21235463836399</v>
      </c>
      <c r="L92" s="35">
        <v>390.03052237386328</v>
      </c>
    </row>
    <row r="93" spans="1:12">
      <c r="A93" s="35">
        <v>249.07323380502891</v>
      </c>
      <c r="B93" s="35">
        <v>263.0130252100933</v>
      </c>
      <c r="C93" s="35">
        <v>235.67768289109205</v>
      </c>
      <c r="D93" s="35">
        <v>236.61624771533036</v>
      </c>
      <c r="E93" s="35">
        <v>278.49916187738847</v>
      </c>
      <c r="F93" s="35">
        <v>239.095719389919</v>
      </c>
      <c r="G93" s="35">
        <v>244.0807595478388</v>
      </c>
      <c r="H93" s="35">
        <v>261.50470193617321</v>
      </c>
      <c r="I93" s="35">
        <v>283.47926598673178</v>
      </c>
      <c r="J93" s="35">
        <v>302.04253100931021</v>
      </c>
      <c r="K93" s="35">
        <v>308.76187171102811</v>
      </c>
      <c r="L93" s="35">
        <v>369.3710405875816</v>
      </c>
    </row>
    <row r="94" spans="1:12">
      <c r="A94" s="35">
        <v>251.45535135125647</v>
      </c>
      <c r="B94" s="35">
        <v>248.59290018477293</v>
      </c>
      <c r="C94" s="35">
        <v>240.07921061167031</v>
      </c>
      <c r="D94" s="35">
        <v>225.24898445939522</v>
      </c>
      <c r="E94" s="35">
        <v>278.33188244955358</v>
      </c>
      <c r="F94" s="35">
        <v>231.58569243721456</v>
      </c>
      <c r="G94" s="35">
        <v>236.42081178856552</v>
      </c>
      <c r="H94" s="35">
        <v>237.00301018390363</v>
      </c>
      <c r="I94" s="35">
        <v>249.35834336762585</v>
      </c>
      <c r="J94" s="35">
        <v>260.63622526414719</v>
      </c>
      <c r="K94" s="35">
        <v>273.28660643168325</v>
      </c>
      <c r="L94" s="35">
        <v>331.61644717334678</v>
      </c>
    </row>
    <row r="95" spans="1:12">
      <c r="A95" s="35">
        <v>233.54718404731767</v>
      </c>
      <c r="B95" s="35">
        <v>252.60261773243164</v>
      </c>
      <c r="C95" s="35">
        <v>233.04211428058622</v>
      </c>
      <c r="D95" s="35">
        <v>250.16511718937832</v>
      </c>
      <c r="E95" s="35">
        <v>288.79328146315987</v>
      </c>
      <c r="F95" s="35">
        <v>223.60108479709379</v>
      </c>
      <c r="G95" s="35">
        <v>244.19651242394303</v>
      </c>
      <c r="H95" s="35">
        <v>256.72716970513216</v>
      </c>
      <c r="I95" s="35">
        <v>278.80061755542505</v>
      </c>
      <c r="J95" s="35">
        <v>283.96579851830865</v>
      </c>
      <c r="K95" s="35">
        <v>312.73622817507498</v>
      </c>
      <c r="L95" s="35">
        <v>348.89249526793003</v>
      </c>
    </row>
    <row r="96" spans="1:12">
      <c r="A96" s="35">
        <v>243.72970283887503</v>
      </c>
      <c r="B96" s="35">
        <v>245.43259289781128</v>
      </c>
      <c r="C96" s="35">
        <v>222.67577274321278</v>
      </c>
      <c r="D96" s="35">
        <v>234.80633717794072</v>
      </c>
      <c r="E96" s="35">
        <v>271.32601691478516</v>
      </c>
      <c r="F96" s="35">
        <v>222.1820598487071</v>
      </c>
      <c r="G96" s="35">
        <v>245.05701716541449</v>
      </c>
      <c r="H96" s="35">
        <v>254.20054025731716</v>
      </c>
      <c r="I96" s="35">
        <v>265.7633570490375</v>
      </c>
      <c r="J96" s="35">
        <v>281.76717556092581</v>
      </c>
      <c r="K96" s="35">
        <v>288.07412874448136</v>
      </c>
      <c r="L96" s="35">
        <v>314.27777391275805</v>
      </c>
    </row>
    <row r="97" spans="1:12">
      <c r="A97" s="35">
        <v>244.37175195706433</v>
      </c>
      <c r="B97" s="35">
        <v>265.40995265676338</v>
      </c>
      <c r="C97" s="35">
        <v>230.76574625222582</v>
      </c>
      <c r="D97" s="35">
        <v>236.84877222882471</v>
      </c>
      <c r="E97" s="35">
        <v>278.30190970897303</v>
      </c>
      <c r="F97" s="35">
        <v>272.43458116503484</v>
      </c>
      <c r="G97" s="35">
        <v>253.95889563565413</v>
      </c>
      <c r="H97" s="35">
        <v>251.93932651997261</v>
      </c>
      <c r="I97" s="35">
        <v>276.0176045879727</v>
      </c>
      <c r="J97" s="35">
        <v>295.20677037043038</v>
      </c>
      <c r="K97" s="35">
        <v>320.92034204747227</v>
      </c>
      <c r="L97" s="35">
        <v>352.49672630978114</v>
      </c>
    </row>
    <row r="98" spans="1:12">
      <c r="A98" s="35">
        <v>255.20316214209964</v>
      </c>
      <c r="B98" s="35">
        <v>263.74782040059193</v>
      </c>
      <c r="C98" s="35">
        <v>242.23388832690921</v>
      </c>
      <c r="D98" s="35">
        <v>242.03261883908527</v>
      </c>
      <c r="E98" s="35">
        <v>279.99681579219379</v>
      </c>
      <c r="F98" s="35">
        <v>241.01942963400168</v>
      </c>
      <c r="G98" s="35">
        <v>260.49372874091557</v>
      </c>
      <c r="H98" s="35">
        <v>259.80194085980742</v>
      </c>
      <c r="I98" s="35">
        <v>282.94591163700687</v>
      </c>
      <c r="J98" s="35">
        <v>289.99937169547604</v>
      </c>
      <c r="K98" s="35">
        <v>296.91850916918452</v>
      </c>
      <c r="L98" s="35">
        <v>352.23742044837388</v>
      </c>
    </row>
    <row r="99" spans="1:12">
      <c r="A99" s="35">
        <v>241.53103890533404</v>
      </c>
      <c r="B99" s="35">
        <v>250.87671175404824</v>
      </c>
      <c r="C99" s="35">
        <v>236.82002171186434</v>
      </c>
      <c r="D99" s="35">
        <v>222.71648305212403</v>
      </c>
      <c r="E99" s="35">
        <v>278.50360117287573</v>
      </c>
      <c r="F99" s="35">
        <v>250.36121500378107</v>
      </c>
      <c r="G99" s="35">
        <v>256.47882697087988</v>
      </c>
      <c r="H99" s="35">
        <v>246.50167873186351</v>
      </c>
      <c r="I99" s="35">
        <v>275.97483817062738</v>
      </c>
      <c r="J99" s="35">
        <v>296.19106715424164</v>
      </c>
      <c r="K99" s="35">
        <v>303.32207891060636</v>
      </c>
      <c r="L99" s="35">
        <v>345.3685714273621</v>
      </c>
    </row>
    <row r="100" spans="1:12">
      <c r="A100" s="35">
        <v>248.75958233365512</v>
      </c>
      <c r="B100" s="35">
        <v>260.01005126618043</v>
      </c>
      <c r="C100" s="35">
        <v>246.55932432104885</v>
      </c>
      <c r="D100" s="35">
        <v>255.45629159643559</v>
      </c>
      <c r="E100" s="35">
        <v>294.46303715614459</v>
      </c>
      <c r="F100" s="35">
        <v>266.05522187710841</v>
      </c>
      <c r="G100" s="35">
        <v>283.33176669246262</v>
      </c>
      <c r="H100" s="35">
        <v>278.03078704526195</v>
      </c>
      <c r="I100" s="35">
        <v>317.77494216331797</v>
      </c>
      <c r="J100" s="35">
        <v>333.90561690325478</v>
      </c>
      <c r="K100" s="35">
        <v>360.81943395231104</v>
      </c>
      <c r="L100" s="35">
        <v>416.15165167236898</v>
      </c>
    </row>
    <row r="101" spans="1:12">
      <c r="A101" s="35">
        <v>239.84714167475019</v>
      </c>
      <c r="B101" s="35">
        <v>252.03598772366917</v>
      </c>
      <c r="C101" s="35">
        <v>233.22198066429866</v>
      </c>
      <c r="D101" s="35">
        <v>227.56130914581962</v>
      </c>
      <c r="E101" s="35">
        <v>272.11101278528349</v>
      </c>
      <c r="F101" s="35">
        <v>235.27093111887515</v>
      </c>
      <c r="G101" s="35">
        <v>220.34157357435438</v>
      </c>
      <c r="H101" s="35">
        <v>253.61626099778476</v>
      </c>
      <c r="I101" s="35">
        <v>265.16446223128912</v>
      </c>
      <c r="J101" s="35">
        <v>263.16562012223812</v>
      </c>
      <c r="K101" s="35">
        <v>274.86909269486682</v>
      </c>
      <c r="L101" s="35">
        <v>319.35697831737428</v>
      </c>
    </row>
    <row r="102" spans="1:12">
      <c r="A102" s="35">
        <v>232.97306425742073</v>
      </c>
      <c r="B102" s="35">
        <v>254.32497242068786</v>
      </c>
      <c r="C102" s="35">
        <v>223.59063194282567</v>
      </c>
      <c r="D102" s="35">
        <v>220.12950175944565</v>
      </c>
      <c r="E102" s="35">
        <v>232.48763304200409</v>
      </c>
      <c r="F102" s="35">
        <v>223.04690575994039</v>
      </c>
      <c r="G102" s="35">
        <v>220.85167815310436</v>
      </c>
      <c r="H102" s="35">
        <v>210.17874074546631</v>
      </c>
      <c r="I102" s="35">
        <v>225.60748952384739</v>
      </c>
      <c r="J102" s="35">
        <v>244.36239979547346</v>
      </c>
      <c r="K102" s="35">
        <v>231.50760843867076</v>
      </c>
      <c r="L102" s="35">
        <v>294.66787038110556</v>
      </c>
    </row>
    <row r="103" spans="1:12">
      <c r="A103" s="35">
        <v>256.2668478682973</v>
      </c>
      <c r="B103" s="35">
        <v>267.61976086716425</v>
      </c>
      <c r="C103" s="35">
        <v>235.23391412766986</v>
      </c>
      <c r="D103" s="35">
        <v>237.52599499654139</v>
      </c>
      <c r="E103" s="35">
        <v>276.94001694097733</v>
      </c>
      <c r="F103" s="35">
        <v>255.23856866580704</v>
      </c>
      <c r="G103" s="35">
        <v>262.33812606971156</v>
      </c>
      <c r="H103" s="35">
        <v>262.57369098802849</v>
      </c>
      <c r="I103" s="35">
        <v>312.4319091219686</v>
      </c>
      <c r="J103" s="35">
        <v>309.63134332718687</v>
      </c>
      <c r="K103" s="35">
        <v>333.09229739651443</v>
      </c>
      <c r="L103" s="35">
        <v>372.77465988150487</v>
      </c>
    </row>
    <row r="104" spans="1:12">
      <c r="A104" s="35">
        <v>230.17181985532213</v>
      </c>
      <c r="B104" s="35">
        <v>249.15086576878892</v>
      </c>
      <c r="C104" s="35">
        <v>245.40072749742319</v>
      </c>
      <c r="D104" s="35">
        <v>240.11578431043662</v>
      </c>
      <c r="E104" s="35">
        <v>242.73430487659212</v>
      </c>
      <c r="F104" s="35">
        <v>229.26230420022364</v>
      </c>
      <c r="G104" s="35">
        <v>241.79002321437505</v>
      </c>
      <c r="H104" s="35">
        <v>253.68868126900253</v>
      </c>
      <c r="I104" s="35">
        <v>260.53234726760599</v>
      </c>
      <c r="J104" s="35">
        <v>283.03540841846063</v>
      </c>
      <c r="K104" s="35">
        <v>313.40549118527593</v>
      </c>
      <c r="L104" s="35">
        <v>361.97210766965003</v>
      </c>
    </row>
    <row r="105" spans="1:12">
      <c r="A105" s="35">
        <v>259.53202554263493</v>
      </c>
      <c r="B105" s="35">
        <v>272.77934966588379</v>
      </c>
      <c r="C105" s="35">
        <v>253.28336653826071</v>
      </c>
      <c r="D105" s="35">
        <v>244.11597277109229</v>
      </c>
      <c r="E105" s="35">
        <v>292.17635228118951</v>
      </c>
      <c r="F105" s="35">
        <v>262.82995172993208</v>
      </c>
      <c r="G105" s="35">
        <v>253.38617661985455</v>
      </c>
      <c r="H105" s="35">
        <v>277.66124151662495</v>
      </c>
      <c r="I105" s="35">
        <v>280.98956361721105</v>
      </c>
      <c r="J105" s="35">
        <v>317.09296033965597</v>
      </c>
      <c r="K105" s="35">
        <v>306.30099073026219</v>
      </c>
      <c r="L105" s="35">
        <v>359.4830218635143</v>
      </c>
    </row>
    <row r="106" spans="1:12">
      <c r="A106" s="35">
        <v>240.87816340782911</v>
      </c>
      <c r="B106" s="35">
        <v>264.67970835377128</v>
      </c>
      <c r="C106" s="35">
        <v>245.45926075524613</v>
      </c>
      <c r="D106" s="35">
        <v>245.27819486922436</v>
      </c>
      <c r="E106" s="35">
        <v>288.60998582257525</v>
      </c>
      <c r="F106" s="35">
        <v>247.3630141860215</v>
      </c>
      <c r="G106" s="35">
        <v>275.71058886639167</v>
      </c>
      <c r="H106" s="35">
        <v>271.543902962201</v>
      </c>
      <c r="I106" s="35">
        <v>296.59706996106877</v>
      </c>
      <c r="J106" s="35">
        <v>314.94388028307606</v>
      </c>
      <c r="K106" s="35">
        <v>354.3492957131981</v>
      </c>
      <c r="L106" s="35">
        <v>407.24569264503077</v>
      </c>
    </row>
    <row r="107" spans="1:12">
      <c r="A107" s="35">
        <v>227.935794609585</v>
      </c>
      <c r="B107" s="35">
        <v>237.21461563803265</v>
      </c>
      <c r="C107" s="35">
        <v>231.26890174410994</v>
      </c>
      <c r="D107" s="35">
        <v>239.86733403951806</v>
      </c>
      <c r="E107" s="35">
        <v>267.00182221926133</v>
      </c>
      <c r="F107" s="35">
        <v>242.45383130143659</v>
      </c>
      <c r="G107" s="35">
        <v>261.05933183211715</v>
      </c>
      <c r="H107" s="35">
        <v>266.59064076654778</v>
      </c>
      <c r="I107" s="35">
        <v>286.26627010036003</v>
      </c>
      <c r="J107" s="35">
        <v>307.99415328710467</v>
      </c>
      <c r="K107" s="35">
        <v>326.40528189062275</v>
      </c>
      <c r="L107" s="35">
        <v>370.08301378786496</v>
      </c>
    </row>
    <row r="108" spans="1:12">
      <c r="A108" s="35">
        <v>269.73428532014077</v>
      </c>
      <c r="B108" s="35">
        <v>273.70806308333687</v>
      </c>
      <c r="C108" s="35">
        <v>249.90839916152188</v>
      </c>
      <c r="D108" s="35">
        <v>254.63978744825124</v>
      </c>
      <c r="E108" s="35">
        <v>315.69320466655631</v>
      </c>
      <c r="F108" s="35">
        <v>280.55974735321183</v>
      </c>
      <c r="G108" s="35">
        <v>299.13827074655899</v>
      </c>
      <c r="H108" s="35">
        <v>294.2081635501587</v>
      </c>
      <c r="I108" s="35">
        <v>316.89113206171646</v>
      </c>
      <c r="J108" s="35">
        <v>335.17062945421623</v>
      </c>
      <c r="K108" s="35">
        <v>350.67168395923204</v>
      </c>
      <c r="L108" s="35">
        <v>417.50747428141347</v>
      </c>
    </row>
    <row r="109" spans="1:12">
      <c r="A109" s="35">
        <v>218.29862674281225</v>
      </c>
      <c r="B109" s="35">
        <v>231.09732996450788</v>
      </c>
      <c r="C109" s="35">
        <v>230.74073327000832</v>
      </c>
      <c r="D109" s="35">
        <v>231.42236141980663</v>
      </c>
      <c r="E109" s="35">
        <v>261.87330140169337</v>
      </c>
      <c r="F109" s="35">
        <v>233.49714525084363</v>
      </c>
      <c r="G109" s="35">
        <v>218.13970516034055</v>
      </c>
      <c r="H109" s="35">
        <v>227.29630011163727</v>
      </c>
      <c r="I109" s="35">
        <v>247.71346450877621</v>
      </c>
      <c r="J109" s="35">
        <v>269.01722725155668</v>
      </c>
      <c r="K109" s="35">
        <v>283.06156669250663</v>
      </c>
      <c r="L109" s="35">
        <v>327.21266846337136</v>
      </c>
    </row>
    <row r="110" spans="1:12">
      <c r="A110" s="35">
        <v>253.4225114137715</v>
      </c>
      <c r="B110" s="35">
        <v>272.26877997888255</v>
      </c>
      <c r="C110" s="35">
        <v>236.78765579346609</v>
      </c>
      <c r="D110" s="35">
        <v>227.99441873088577</v>
      </c>
      <c r="E110" s="35">
        <v>272.44494601458734</v>
      </c>
      <c r="F110" s="35">
        <v>243.90727641155016</v>
      </c>
      <c r="G110" s="35">
        <v>269.03896587240899</v>
      </c>
      <c r="H110" s="35">
        <v>283.78950035767554</v>
      </c>
      <c r="I110" s="35">
        <v>281.55301902235431</v>
      </c>
      <c r="J110" s="35">
        <v>319.1999812590841</v>
      </c>
      <c r="K110" s="35">
        <v>337.20275387852985</v>
      </c>
      <c r="L110" s="35">
        <v>405.43110962114304</v>
      </c>
    </row>
    <row r="111" spans="1:12">
      <c r="A111" s="35">
        <v>247.8688823097059</v>
      </c>
      <c r="B111" s="35">
        <v>284.19020395922377</v>
      </c>
      <c r="C111" s="35">
        <v>232.12128149180708</v>
      </c>
      <c r="D111" s="35">
        <v>247.05758555823584</v>
      </c>
      <c r="E111" s="35">
        <v>288.42676362403569</v>
      </c>
      <c r="F111" s="35">
        <v>239.56387718512809</v>
      </c>
      <c r="G111" s="35">
        <v>257.82069591074753</v>
      </c>
      <c r="H111" s="35">
        <v>244.1932010018279</v>
      </c>
      <c r="I111" s="35">
        <v>282.78242856057187</v>
      </c>
      <c r="J111" s="35">
        <v>293.62329264235262</v>
      </c>
      <c r="K111" s="35">
        <v>314.85223745841904</v>
      </c>
      <c r="L111" s="35">
        <v>346.08318627176823</v>
      </c>
    </row>
    <row r="112" spans="1:12">
      <c r="A112" s="35">
        <v>237.25492155543171</v>
      </c>
      <c r="B112" s="35">
        <v>250.68696203275718</v>
      </c>
      <c r="C112" s="35">
        <v>249.89543821079019</v>
      </c>
      <c r="D112" s="35">
        <v>250.11006891877611</v>
      </c>
      <c r="E112" s="35">
        <v>285.96401017969163</v>
      </c>
      <c r="F112" s="35">
        <v>248.42858047254234</v>
      </c>
      <c r="G112" s="35">
        <v>247.79711593159993</v>
      </c>
      <c r="H112" s="35">
        <v>266.42107112140985</v>
      </c>
      <c r="I112" s="35">
        <v>288.71036035081585</v>
      </c>
      <c r="J112" s="35">
        <v>291.99472765698317</v>
      </c>
      <c r="K112" s="35">
        <v>317.59839309751345</v>
      </c>
      <c r="L112" s="35">
        <v>383.8054371911872</v>
      </c>
    </row>
    <row r="113" spans="1:12">
      <c r="A113" s="35">
        <v>233.10493524833043</v>
      </c>
      <c r="B113" s="35">
        <v>258.58475998842988</v>
      </c>
      <c r="C113" s="35">
        <v>232.68738217308481</v>
      </c>
      <c r="D113" s="35">
        <v>239.28379654641736</v>
      </c>
      <c r="E113" s="35">
        <v>257.95771353311079</v>
      </c>
      <c r="F113" s="35">
        <v>228.47166117252925</v>
      </c>
      <c r="G113" s="35">
        <v>258.18076280734715</v>
      </c>
      <c r="H113" s="35">
        <v>242.00511625711997</v>
      </c>
      <c r="I113" s="35">
        <v>287.77340039337321</v>
      </c>
      <c r="J113" s="35">
        <v>303.90115448894295</v>
      </c>
      <c r="K113" s="35">
        <v>311.94659675163109</v>
      </c>
      <c r="L113" s="35">
        <v>371.8857819494026</v>
      </c>
    </row>
    <row r="114" spans="1:12">
      <c r="A114" s="35">
        <v>248.59733533369837</v>
      </c>
      <c r="B114" s="35">
        <v>265.59052282541165</v>
      </c>
      <c r="C114" s="35">
        <v>258.13670777988045</v>
      </c>
      <c r="D114" s="35">
        <v>217.29531615103423</v>
      </c>
      <c r="E114" s="35">
        <v>271.52289530700062</v>
      </c>
      <c r="F114" s="35">
        <v>246.36192980012066</v>
      </c>
      <c r="G114" s="35">
        <v>252.12984296070402</v>
      </c>
      <c r="H114" s="35">
        <v>238.50678918989931</v>
      </c>
      <c r="I114" s="35">
        <v>268.72705882779746</v>
      </c>
      <c r="J114" s="35">
        <v>264.9090490332328</v>
      </c>
      <c r="K114" s="35">
        <v>286.85511877023185</v>
      </c>
      <c r="L114" s="35">
        <v>349.40303750214827</v>
      </c>
    </row>
    <row r="115" spans="1:12">
      <c r="A115" s="35">
        <v>247.85027785928224</v>
      </c>
      <c r="B115" s="35">
        <v>266.99502732303506</v>
      </c>
      <c r="C115" s="35">
        <v>220.3975159066577</v>
      </c>
      <c r="D115" s="35">
        <v>231.19587662172444</v>
      </c>
      <c r="E115" s="35">
        <v>276.93835969690576</v>
      </c>
      <c r="F115" s="35">
        <v>233.76453491841457</v>
      </c>
      <c r="G115" s="35">
        <v>266.12156708151548</v>
      </c>
      <c r="H115" s="35">
        <v>263.62655018618329</v>
      </c>
      <c r="I115" s="35">
        <v>279.63342769988139</v>
      </c>
      <c r="J115" s="35">
        <v>295.14989134232991</v>
      </c>
      <c r="K115" s="35">
        <v>310.87802343586645</v>
      </c>
      <c r="L115" s="35">
        <v>357.09433921235399</v>
      </c>
    </row>
    <row r="116" spans="1:12">
      <c r="A116" s="35">
        <v>267.92406716612277</v>
      </c>
      <c r="B116" s="35">
        <v>282.93709227140693</v>
      </c>
      <c r="C116" s="35">
        <v>249.78146667889084</v>
      </c>
      <c r="D116" s="35">
        <v>260.61870559025164</v>
      </c>
      <c r="E116" s="35">
        <v>292.71337536780953</v>
      </c>
      <c r="F116" s="35">
        <v>261.93253892819553</v>
      </c>
      <c r="G116" s="35">
        <v>266.56421465332693</v>
      </c>
      <c r="H116" s="35">
        <v>282.02465855216838</v>
      </c>
      <c r="I116" s="35">
        <v>295.84654262205368</v>
      </c>
      <c r="J116" s="35">
        <v>323.26034802863057</v>
      </c>
      <c r="K116" s="35">
        <v>341.84120613296847</v>
      </c>
      <c r="L116" s="35">
        <v>391.22216014816036</v>
      </c>
    </row>
    <row r="117" spans="1:12">
      <c r="A117" s="35">
        <v>238.70324693431309</v>
      </c>
      <c r="B117" s="35">
        <v>268.2623908508674</v>
      </c>
      <c r="C117" s="35">
        <v>275.40537606738047</v>
      </c>
      <c r="D117" s="35">
        <v>252.50412188772853</v>
      </c>
      <c r="E117" s="35">
        <v>293.40931218279763</v>
      </c>
      <c r="F117" s="35">
        <v>260.61142604165758</v>
      </c>
      <c r="G117" s="35">
        <v>266.09177174828318</v>
      </c>
      <c r="H117" s="35">
        <v>286.56935392249579</v>
      </c>
      <c r="I117" s="35">
        <v>302.74680896046135</v>
      </c>
      <c r="J117" s="35">
        <v>317.5132820859381</v>
      </c>
      <c r="K117" s="35">
        <v>343.85701870529914</v>
      </c>
      <c r="L117" s="35">
        <v>395.05775978179969</v>
      </c>
    </row>
    <row r="118" spans="1:12">
      <c r="A118" s="35">
        <v>243.68319008794526</v>
      </c>
      <c r="B118" s="35">
        <v>261.07011901388933</v>
      </c>
      <c r="C118" s="35">
        <v>258.62731477848519</v>
      </c>
      <c r="D118" s="35">
        <v>271.79998037737289</v>
      </c>
      <c r="E118" s="35">
        <v>303.04060961005354</v>
      </c>
      <c r="F118" s="35">
        <v>239.82629465148949</v>
      </c>
      <c r="G118" s="35">
        <v>277.57415786042191</v>
      </c>
      <c r="H118" s="35">
        <v>282.18061284544285</v>
      </c>
      <c r="I118" s="35">
        <v>321.74431870679621</v>
      </c>
      <c r="J118" s="35">
        <v>309.1441520961535</v>
      </c>
      <c r="K118" s="35">
        <v>338.63273504674743</v>
      </c>
      <c r="L118" s="35">
        <v>397.1337656932331</v>
      </c>
    </row>
    <row r="119" spans="1:12">
      <c r="A119" s="35">
        <v>265.13765860858825</v>
      </c>
      <c r="B119" s="35">
        <v>265.5034050181136</v>
      </c>
      <c r="C119" s="35">
        <v>255.60768203242066</v>
      </c>
      <c r="D119" s="35">
        <v>264.81600647725128</v>
      </c>
      <c r="E119" s="35">
        <v>300.90189370820889</v>
      </c>
      <c r="F119" s="35">
        <v>243.69647734991383</v>
      </c>
      <c r="G119" s="35">
        <v>272.5464506079843</v>
      </c>
      <c r="H119" s="35">
        <v>283.6532408139737</v>
      </c>
      <c r="I119" s="35">
        <v>302.01591432972901</v>
      </c>
      <c r="J119" s="35">
        <v>318.83195891941807</v>
      </c>
      <c r="K119" s="35">
        <v>332.78914974715593</v>
      </c>
      <c r="L119" s="35">
        <v>390.27495634261362</v>
      </c>
    </row>
    <row r="120" spans="1:12">
      <c r="A120" s="35">
        <v>233.55969234262946</v>
      </c>
      <c r="B120" s="35">
        <v>254.11509459893051</v>
      </c>
      <c r="C120" s="35">
        <v>234.69638972179365</v>
      </c>
      <c r="D120" s="35">
        <v>240.65558509571954</v>
      </c>
      <c r="E120" s="35">
        <v>263.51590302820603</v>
      </c>
      <c r="F120" s="35">
        <v>234.72658479665284</v>
      </c>
      <c r="G120" s="35">
        <v>236.22517513203235</v>
      </c>
      <c r="H120" s="35">
        <v>250.25500260980127</v>
      </c>
      <c r="I120" s="35">
        <v>235.72718497147883</v>
      </c>
      <c r="J120" s="35">
        <v>239.57113140768888</v>
      </c>
      <c r="K120" s="35">
        <v>281.75080474302177</v>
      </c>
      <c r="L120" s="35">
        <v>331.73525638700369</v>
      </c>
    </row>
    <row r="121" spans="1:12">
      <c r="A121" s="35">
        <v>229.38898816729474</v>
      </c>
      <c r="B121" s="35">
        <v>244.39273593404434</v>
      </c>
      <c r="C121" s="35">
        <v>220.07477072207021</v>
      </c>
      <c r="D121" s="35">
        <v>202.82443331517965</v>
      </c>
      <c r="E121" s="35">
        <v>253.2960672392513</v>
      </c>
      <c r="F121" s="35">
        <v>202.3996938377251</v>
      </c>
      <c r="G121" s="35">
        <v>214.84387822085381</v>
      </c>
      <c r="H121" s="35">
        <v>205.51243152769149</v>
      </c>
      <c r="I121" s="35">
        <v>225.53985426990141</v>
      </c>
      <c r="J121" s="35">
        <v>238.86623497679417</v>
      </c>
      <c r="K121" s="35">
        <v>245.38692800542259</v>
      </c>
      <c r="L121" s="35">
        <v>283.11042720076318</v>
      </c>
    </row>
    <row r="122" spans="1:12">
      <c r="A122" s="35">
        <v>233.04245104382184</v>
      </c>
      <c r="B122" s="35">
        <v>254.55343509632272</v>
      </c>
      <c r="C122" s="35">
        <v>226.58759812226066</v>
      </c>
      <c r="D122" s="35">
        <v>241.57587444634925</v>
      </c>
      <c r="E122" s="35">
        <v>261.98679762682707</v>
      </c>
      <c r="F122" s="35">
        <v>227.54429815759227</v>
      </c>
      <c r="G122" s="35">
        <v>243.79094153567524</v>
      </c>
      <c r="H122" s="35">
        <v>252.36645047057968</v>
      </c>
      <c r="I122" s="35">
        <v>277.92778514006568</v>
      </c>
      <c r="J122" s="35">
        <v>276.90448493032062</v>
      </c>
      <c r="K122" s="35">
        <v>285.04046683956585</v>
      </c>
      <c r="L122" s="35">
        <v>339.69553237061228</v>
      </c>
    </row>
    <row r="123" spans="1:12">
      <c r="A123" s="35">
        <v>248.9539560860444</v>
      </c>
      <c r="B123" s="35">
        <v>267.98813499330748</v>
      </c>
      <c r="C123" s="35">
        <v>261.18728313734761</v>
      </c>
      <c r="D123" s="35">
        <v>249.89210226741784</v>
      </c>
      <c r="E123" s="35">
        <v>303.1643385224225</v>
      </c>
      <c r="F123" s="35">
        <v>267.96504403464121</v>
      </c>
      <c r="G123" s="35">
        <v>276.61812575741169</v>
      </c>
      <c r="H123" s="35">
        <v>274.88503577366481</v>
      </c>
      <c r="I123" s="35">
        <v>289.64304185130447</v>
      </c>
      <c r="J123" s="35">
        <v>327.20216401306743</v>
      </c>
      <c r="K123" s="35">
        <v>344.62143464000337</v>
      </c>
      <c r="L123" s="35">
        <v>401.28994773592188</v>
      </c>
    </row>
    <row r="124" spans="1:12">
      <c r="A124" s="35">
        <v>241.08371859885887</v>
      </c>
      <c r="B124" s="35">
        <v>265.11026926095849</v>
      </c>
      <c r="C124" s="35">
        <v>247.73172208234712</v>
      </c>
      <c r="D124" s="35">
        <v>234.91422504076752</v>
      </c>
      <c r="E124" s="35">
        <v>275.84240598404</v>
      </c>
      <c r="F124" s="35">
        <v>250.69377377761958</v>
      </c>
      <c r="G124" s="35">
        <v>271.11950944686959</v>
      </c>
      <c r="H124" s="35">
        <v>273.25978880006278</v>
      </c>
      <c r="I124" s="35">
        <v>293.59141866008395</v>
      </c>
      <c r="J124" s="35">
        <v>305.55674683176113</v>
      </c>
      <c r="K124" s="35">
        <v>335.4396450744357</v>
      </c>
      <c r="L124" s="35">
        <v>394.07693286702983</v>
      </c>
    </row>
    <row r="125" spans="1:12">
      <c r="A125" s="35">
        <v>241.31886991071954</v>
      </c>
      <c r="B125" s="35">
        <v>247.95569249223962</v>
      </c>
      <c r="C125" s="35">
        <v>219.85426793699193</v>
      </c>
      <c r="D125" s="35">
        <v>219.834581407428</v>
      </c>
      <c r="E125" s="35">
        <v>255.04604481338467</v>
      </c>
      <c r="F125" s="35">
        <v>222.26251501192596</v>
      </c>
      <c r="G125" s="35">
        <v>241.5336385164907</v>
      </c>
      <c r="H125" s="35">
        <v>241.37198470865258</v>
      </c>
      <c r="I125" s="35">
        <v>256.21277251459446</v>
      </c>
      <c r="J125" s="35">
        <v>276.5076890749844</v>
      </c>
      <c r="K125" s="35">
        <v>259.28868478582359</v>
      </c>
      <c r="L125" s="35">
        <v>307.05329908496532</v>
      </c>
    </row>
    <row r="126" spans="1:12">
      <c r="A126" s="35">
        <v>249.415678575378</v>
      </c>
      <c r="B126" s="35">
        <v>265.21273621423438</v>
      </c>
      <c r="C126" s="35">
        <v>252.81021780859237</v>
      </c>
      <c r="D126" s="35">
        <v>243.32027327542238</v>
      </c>
      <c r="E126" s="35">
        <v>275.43570270465813</v>
      </c>
      <c r="F126" s="35">
        <v>240.50512321376834</v>
      </c>
      <c r="G126" s="35">
        <v>257.91003731828937</v>
      </c>
      <c r="H126" s="35">
        <v>269.00352771910912</v>
      </c>
      <c r="I126" s="35">
        <v>286.38531572356442</v>
      </c>
      <c r="J126" s="35">
        <v>307.73641048081811</v>
      </c>
      <c r="K126" s="35">
        <v>316.18931765477907</v>
      </c>
      <c r="L126" s="35">
        <v>372.19299674794496</v>
      </c>
    </row>
    <row r="127" spans="1:12">
      <c r="A127" s="35">
        <v>249.86410326448012</v>
      </c>
      <c r="B127" s="35">
        <v>264.2841541245258</v>
      </c>
      <c r="C127" s="35">
        <v>224.93713902130392</v>
      </c>
      <c r="D127" s="35">
        <v>252.09357477816604</v>
      </c>
      <c r="E127" s="35">
        <v>276.5671002093427</v>
      </c>
      <c r="F127" s="35">
        <v>224.50763714504612</v>
      </c>
      <c r="G127" s="35">
        <v>261.36200044309913</v>
      </c>
      <c r="H127" s="35">
        <v>266.13186581008438</v>
      </c>
      <c r="I127" s="35">
        <v>263.97191264881218</v>
      </c>
      <c r="J127" s="35">
        <v>290.45364910668042</v>
      </c>
      <c r="K127" s="35">
        <v>295.70204804405239</v>
      </c>
      <c r="L127" s="35">
        <v>359.22605072990382</v>
      </c>
    </row>
    <row r="128" spans="1:12">
      <c r="A128" s="35">
        <v>249.44083548251376</v>
      </c>
      <c r="B128" s="35">
        <v>267.72241019158508</v>
      </c>
      <c r="C128" s="35">
        <v>264.43817961408683</v>
      </c>
      <c r="D128" s="35">
        <v>241.00141333833162</v>
      </c>
      <c r="E128" s="35">
        <v>303.3883481432128</v>
      </c>
      <c r="F128" s="35">
        <v>268.40667562116101</v>
      </c>
      <c r="G128" s="35">
        <v>284.43753470524052</v>
      </c>
      <c r="H128" s="35">
        <v>298.41140304874261</v>
      </c>
      <c r="I128" s="35">
        <v>334.80842798528948</v>
      </c>
      <c r="J128" s="35">
        <v>347.85003506511083</v>
      </c>
      <c r="K128" s="35">
        <v>351.50313220751758</v>
      </c>
      <c r="L128" s="35">
        <v>444.09405799034784</v>
      </c>
    </row>
    <row r="129" spans="1:12">
      <c r="A129" s="35">
        <v>252.62726095925615</v>
      </c>
      <c r="B129" s="35">
        <v>262.8934523518771</v>
      </c>
      <c r="C129" s="35">
        <v>236.12027509706689</v>
      </c>
      <c r="D129" s="35">
        <v>233.99858657156281</v>
      </c>
      <c r="E129" s="35">
        <v>258.87565551288071</v>
      </c>
      <c r="F129" s="35">
        <v>219.51111443440047</v>
      </c>
      <c r="G129" s="35">
        <v>218.3830094118606</v>
      </c>
      <c r="H129" s="35">
        <v>243.81860619239075</v>
      </c>
      <c r="I129" s="35">
        <v>253.58105530469427</v>
      </c>
      <c r="J129" s="35">
        <v>265.01376319703729</v>
      </c>
      <c r="K129" s="35">
        <v>255.79832623157714</v>
      </c>
      <c r="L129" s="35">
        <v>314.70512662652618</v>
      </c>
    </row>
    <row r="130" spans="1:12">
      <c r="A130" s="35">
        <v>246.82827957751201</v>
      </c>
      <c r="B130" s="35">
        <v>253.52868158883459</v>
      </c>
      <c r="C130" s="35">
        <v>234.14316961864003</v>
      </c>
      <c r="D130" s="35">
        <v>225.38085160310837</v>
      </c>
      <c r="E130" s="35">
        <v>264.97555055236245</v>
      </c>
      <c r="F130" s="35">
        <v>240.64835309699447</v>
      </c>
      <c r="G130" s="35">
        <v>260.38052136342816</v>
      </c>
      <c r="H130" s="35">
        <v>243.91092249341565</v>
      </c>
      <c r="I130" s="35">
        <v>276.17530157764509</v>
      </c>
      <c r="J130" s="35">
        <v>269.61237222350553</v>
      </c>
      <c r="K130" s="35">
        <v>298.10770376192301</v>
      </c>
      <c r="L130" s="35">
        <v>339.75725090822664</v>
      </c>
    </row>
    <row r="131" spans="1:12">
      <c r="A131" s="35">
        <v>248.33984454604686</v>
      </c>
      <c r="B131" s="35">
        <v>257.0316415021482</v>
      </c>
      <c r="C131" s="35">
        <v>245.89856994569652</v>
      </c>
      <c r="D131" s="35">
        <v>241.13636324653467</v>
      </c>
      <c r="E131" s="35">
        <v>270.57912815171096</v>
      </c>
      <c r="F131" s="35">
        <v>261.13223622302053</v>
      </c>
      <c r="G131" s="35">
        <v>262.79442705122489</v>
      </c>
      <c r="H131" s="35">
        <v>266.45286045138533</v>
      </c>
      <c r="I131" s="35">
        <v>297.39194462048391</v>
      </c>
      <c r="J131" s="35">
        <v>272.68548643894798</v>
      </c>
      <c r="K131" s="35">
        <v>322.63131282180626</v>
      </c>
      <c r="L131" s="35">
        <v>366.88238421889253</v>
      </c>
    </row>
    <row r="132" spans="1:12">
      <c r="A132" s="35">
        <v>240.98135811949416</v>
      </c>
      <c r="B132" s="35">
        <v>270.01616736869966</v>
      </c>
      <c r="C132" s="35">
        <v>240.70757013707464</v>
      </c>
      <c r="D132" s="35">
        <v>233.95247707040838</v>
      </c>
      <c r="E132" s="35">
        <v>267.67411881836506</v>
      </c>
      <c r="F132" s="35">
        <v>236.67408116828582</v>
      </c>
      <c r="G132" s="35">
        <v>251.78271550344712</v>
      </c>
      <c r="H132" s="35">
        <v>242.39605414489009</v>
      </c>
      <c r="I132" s="35">
        <v>260.27590982746887</v>
      </c>
      <c r="J132" s="35">
        <v>289.20247253629441</v>
      </c>
      <c r="K132" s="35">
        <v>271.80574363796501</v>
      </c>
      <c r="L132" s="35">
        <v>333.04089490074108</v>
      </c>
    </row>
    <row r="133" spans="1:12">
      <c r="A133" s="35">
        <v>252.32791591361621</v>
      </c>
      <c r="B133" s="35">
        <v>273.11944273605536</v>
      </c>
      <c r="C133" s="35">
        <v>231.86578373561878</v>
      </c>
      <c r="D133" s="35">
        <v>239.96663949530509</v>
      </c>
      <c r="E133" s="35">
        <v>276.55332471416546</v>
      </c>
      <c r="F133" s="35">
        <v>262.8500556379314</v>
      </c>
      <c r="G133" s="35">
        <v>260.36767811812103</v>
      </c>
      <c r="H133" s="35">
        <v>267.42828746444667</v>
      </c>
      <c r="I133" s="35">
        <v>303.03626270548983</v>
      </c>
      <c r="J133" s="35">
        <v>312.92218166091385</v>
      </c>
      <c r="K133" s="35">
        <v>331.14997334957161</v>
      </c>
      <c r="L133" s="35">
        <v>380.48352214085668</v>
      </c>
    </row>
    <row r="134" spans="1:12">
      <c r="A134" s="35">
        <v>250.6436316639051</v>
      </c>
      <c r="B134" s="35">
        <v>258.04079557439957</v>
      </c>
      <c r="C134" s="35">
        <v>261.15110115716499</v>
      </c>
      <c r="D134" s="35">
        <v>233.08986690222252</v>
      </c>
      <c r="E134" s="35">
        <v>285.18371906106483</v>
      </c>
      <c r="F134" s="35">
        <v>257.83204233750655</v>
      </c>
      <c r="G134" s="35">
        <v>271.8034013151252</v>
      </c>
      <c r="H134" s="35">
        <v>279.81738426328076</v>
      </c>
      <c r="I134" s="35">
        <v>301.41244869563997</v>
      </c>
      <c r="J134" s="35">
        <v>317.95475479037793</v>
      </c>
      <c r="K134" s="35">
        <v>338.18733793726108</v>
      </c>
      <c r="L134" s="35">
        <v>385.55512665971901</v>
      </c>
    </row>
    <row r="135" spans="1:12">
      <c r="A135" s="35">
        <v>228.21051213480979</v>
      </c>
      <c r="B135" s="35">
        <v>245.60763566576517</v>
      </c>
      <c r="C135" s="35">
        <v>214.56796461152129</v>
      </c>
      <c r="D135" s="35">
        <v>230.89176236872845</v>
      </c>
      <c r="E135" s="35">
        <v>278.84710598057086</v>
      </c>
      <c r="F135" s="35">
        <v>228.68094687466191</v>
      </c>
      <c r="G135" s="35">
        <v>242.52645933245111</v>
      </c>
      <c r="H135" s="35">
        <v>248.16431142552099</v>
      </c>
      <c r="I135" s="35">
        <v>247.14889987514755</v>
      </c>
      <c r="J135" s="35">
        <v>275.36403613738042</v>
      </c>
      <c r="K135" s="35">
        <v>290.1166249660165</v>
      </c>
      <c r="L135" s="35">
        <v>329.69262339556917</v>
      </c>
    </row>
    <row r="136" spans="1:12">
      <c r="A136" s="35">
        <v>265.71191989130398</v>
      </c>
      <c r="B136" s="35">
        <v>288.58509683417105</v>
      </c>
      <c r="C136" s="35">
        <v>247.95874586886865</v>
      </c>
      <c r="D136" s="35">
        <v>267.51708813136207</v>
      </c>
      <c r="E136" s="35">
        <v>312.9270696868798</v>
      </c>
      <c r="F136" s="35">
        <v>274.62754955042186</v>
      </c>
      <c r="G136" s="35">
        <v>287.63319187664706</v>
      </c>
      <c r="H136" s="35">
        <v>301.07275524610287</v>
      </c>
      <c r="I136" s="35">
        <v>325.33301066357137</v>
      </c>
      <c r="J136" s="35">
        <v>363.02973065002561</v>
      </c>
      <c r="K136" s="35">
        <v>364.19971879571813</v>
      </c>
      <c r="L136" s="35">
        <v>435.0519755451578</v>
      </c>
    </row>
    <row r="137" spans="1:12">
      <c r="A137" s="35">
        <v>244.57209353755687</v>
      </c>
      <c r="B137" s="35">
        <v>267.83379452608386</v>
      </c>
      <c r="C137" s="35">
        <v>234.29133647931323</v>
      </c>
      <c r="D137" s="35">
        <v>237.6814976297502</v>
      </c>
      <c r="E137" s="35">
        <v>283.85902609160803</v>
      </c>
      <c r="F137" s="35">
        <v>246.0514914171074</v>
      </c>
      <c r="G137" s="35">
        <v>255.26224045523222</v>
      </c>
      <c r="H137" s="35">
        <v>261.20256107754216</v>
      </c>
      <c r="I137" s="35">
        <v>281.09718056890949</v>
      </c>
      <c r="J137" s="35">
        <v>287.76008733267435</v>
      </c>
      <c r="K137" s="35">
        <v>307.02983394677977</v>
      </c>
      <c r="L137" s="35">
        <v>355.28681019713457</v>
      </c>
    </row>
    <row r="138" spans="1:12">
      <c r="A138" s="35">
        <v>250.77016848540973</v>
      </c>
      <c r="B138" s="35">
        <v>270.09686800070182</v>
      </c>
      <c r="C138" s="35">
        <v>246.14047922667706</v>
      </c>
      <c r="D138" s="35">
        <v>258.6330032401732</v>
      </c>
      <c r="E138" s="35">
        <v>284.89110467128836</v>
      </c>
      <c r="F138" s="35">
        <v>243.41158588550971</v>
      </c>
      <c r="G138" s="35">
        <v>266.77813397105331</v>
      </c>
      <c r="H138" s="35">
        <v>273.45905221162604</v>
      </c>
      <c r="I138" s="35">
        <v>283.2066991427514</v>
      </c>
      <c r="J138" s="35">
        <v>311.39995534780098</v>
      </c>
      <c r="K138" s="35">
        <v>331.58192784088573</v>
      </c>
      <c r="L138" s="35">
        <v>376.28185910300402</v>
      </c>
    </row>
    <row r="139" spans="1:12">
      <c r="A139" s="35">
        <v>264.68692625389679</v>
      </c>
      <c r="B139" s="35">
        <v>270.16630466219459</v>
      </c>
      <c r="C139" s="35">
        <v>250.4615824128629</v>
      </c>
      <c r="D139" s="35">
        <v>246.42852097858182</v>
      </c>
      <c r="E139" s="35">
        <v>317.40296859081599</v>
      </c>
      <c r="F139" s="35">
        <v>272.74189546491897</v>
      </c>
      <c r="G139" s="35">
        <v>274.01743590363634</v>
      </c>
      <c r="H139" s="35">
        <v>292.22178603453222</v>
      </c>
      <c r="I139" s="35">
        <v>325.6219895261475</v>
      </c>
      <c r="J139" s="35">
        <v>320.97986170547182</v>
      </c>
      <c r="K139" s="35">
        <v>354.58259996956451</v>
      </c>
      <c r="L139" s="35">
        <v>405.5243896745198</v>
      </c>
    </row>
    <row r="140" spans="1:12">
      <c r="A140" s="35">
        <v>247.06883910405756</v>
      </c>
      <c r="B140" s="35">
        <v>258.11205863351989</v>
      </c>
      <c r="C140" s="35">
        <v>257.17750450394141</v>
      </c>
      <c r="D140" s="35">
        <v>241.4737957283736</v>
      </c>
      <c r="E140" s="35">
        <v>282.05458133379528</v>
      </c>
      <c r="F140" s="35">
        <v>250.10405113156619</v>
      </c>
      <c r="G140" s="35">
        <v>264.81489176840927</v>
      </c>
      <c r="H140" s="35">
        <v>278.10884133272077</v>
      </c>
      <c r="I140" s="35">
        <v>298.52229117227995</v>
      </c>
      <c r="J140" s="35">
        <v>307.90504333280398</v>
      </c>
      <c r="K140" s="35">
        <v>321.84966870517115</v>
      </c>
      <c r="L140" s="35">
        <v>384.86596077930892</v>
      </c>
    </row>
    <row r="141" spans="1:12">
      <c r="A141" s="35">
        <v>249.82483578620673</v>
      </c>
      <c r="B141" s="35">
        <v>272.87516253151699</v>
      </c>
      <c r="C141" s="35">
        <v>236.96004247843337</v>
      </c>
      <c r="D141" s="35">
        <v>251.01384611276882</v>
      </c>
      <c r="E141" s="35">
        <v>297.44214618813641</v>
      </c>
      <c r="F141" s="35">
        <v>270.21570263874025</v>
      </c>
      <c r="G141" s="35">
        <v>272.38042718660142</v>
      </c>
      <c r="H141" s="35">
        <v>290.0742033264487</v>
      </c>
      <c r="I141" s="35">
        <v>304.74046351293606</v>
      </c>
      <c r="J141" s="35">
        <v>338.34079296254293</v>
      </c>
      <c r="K141" s="35">
        <v>356.73761866420369</v>
      </c>
      <c r="L141" s="35">
        <v>402.08798922416804</v>
      </c>
    </row>
    <row r="142" spans="1:12">
      <c r="A142" s="35">
        <v>232.49382509059015</v>
      </c>
      <c r="B142" s="35">
        <v>246.44481846901232</v>
      </c>
      <c r="C142" s="35">
        <v>244.85027983123564</v>
      </c>
      <c r="D142" s="35">
        <v>237.31999237509854</v>
      </c>
      <c r="E142" s="35">
        <v>265.03682686193304</v>
      </c>
      <c r="F142" s="35">
        <v>236.72837470346272</v>
      </c>
      <c r="G142" s="35">
        <v>244.28647289379924</v>
      </c>
      <c r="H142" s="35">
        <v>250.09746693397506</v>
      </c>
      <c r="I142" s="35">
        <v>254.21180251141959</v>
      </c>
      <c r="J142" s="35">
        <v>279.98834336817941</v>
      </c>
      <c r="K142" s="35">
        <v>294.94170622668446</v>
      </c>
      <c r="L142" s="35">
        <v>332.00093813838828</v>
      </c>
    </row>
    <row r="143" spans="1:12">
      <c r="A143" s="35">
        <v>233.18176327535829</v>
      </c>
      <c r="B143" s="35">
        <v>257.638028286007</v>
      </c>
      <c r="C143" s="35">
        <v>246.26735577210783</v>
      </c>
      <c r="D143" s="35">
        <v>219.4270708931582</v>
      </c>
      <c r="E143" s="35">
        <v>279.89539754150951</v>
      </c>
      <c r="F143" s="35">
        <v>224.92707420578083</v>
      </c>
      <c r="G143" s="35">
        <v>224.5232278004589</v>
      </c>
      <c r="H143" s="35">
        <v>233.92889483300357</v>
      </c>
      <c r="I143" s="35">
        <v>248.97256195934401</v>
      </c>
      <c r="J143" s="35">
        <v>261.44223052902419</v>
      </c>
      <c r="K143" s="35">
        <v>271.54456271975704</v>
      </c>
      <c r="L143" s="35">
        <v>318.88930394941212</v>
      </c>
    </row>
    <row r="144" spans="1:12">
      <c r="A144" s="35">
        <v>254.76690032399645</v>
      </c>
      <c r="B144" s="35">
        <v>279.75959740953687</v>
      </c>
      <c r="C144" s="35">
        <v>254.06701500561857</v>
      </c>
      <c r="D144" s="35">
        <v>259.92459043152598</v>
      </c>
      <c r="E144" s="35">
        <v>307.40023655248854</v>
      </c>
      <c r="F144" s="35">
        <v>278.45209225556744</v>
      </c>
      <c r="G144" s="35">
        <v>307.29714585159297</v>
      </c>
      <c r="H144" s="35">
        <v>300.05738901514434</v>
      </c>
      <c r="I144" s="35">
        <v>334.65916912630217</v>
      </c>
      <c r="J144" s="35">
        <v>363.19894500932475</v>
      </c>
      <c r="K144" s="35">
        <v>377.10718868693084</v>
      </c>
      <c r="L144" s="35">
        <v>443.87065801167472</v>
      </c>
    </row>
    <row r="145" spans="1:12">
      <c r="A145" s="35">
        <v>233.78151262873348</v>
      </c>
      <c r="B145" s="35">
        <v>252.28738302812977</v>
      </c>
      <c r="C145" s="35">
        <v>236.30913281185903</v>
      </c>
      <c r="D145" s="35">
        <v>241.95135832474705</v>
      </c>
      <c r="E145" s="35">
        <v>284.15881924338964</v>
      </c>
      <c r="F145" s="35">
        <v>244.14980073601205</v>
      </c>
      <c r="G145" s="35">
        <v>240.99158285966578</v>
      </c>
      <c r="H145" s="35">
        <v>259.07331611394574</v>
      </c>
      <c r="I145" s="35">
        <v>277.17621565747692</v>
      </c>
      <c r="J145" s="35">
        <v>293.97158244786357</v>
      </c>
      <c r="K145" s="35">
        <v>308.57979287977793</v>
      </c>
      <c r="L145" s="35">
        <v>362.46136663099895</v>
      </c>
    </row>
    <row r="146" spans="1:12">
      <c r="A146" s="35">
        <v>256.92489855415477</v>
      </c>
      <c r="B146" s="35">
        <v>287.55569231209711</v>
      </c>
      <c r="C146" s="35">
        <v>249.27734179015565</v>
      </c>
      <c r="D146" s="35">
        <v>251.73219745223594</v>
      </c>
      <c r="E146" s="35">
        <v>322.5500191636898</v>
      </c>
      <c r="F146" s="35">
        <v>275.0065544219251</v>
      </c>
      <c r="G146" s="35">
        <v>292.82434631229057</v>
      </c>
      <c r="H146" s="35">
        <v>314.90288473436823</v>
      </c>
      <c r="I146" s="35">
        <v>338.2555305650128</v>
      </c>
      <c r="J146" s="35">
        <v>351.08105424655673</v>
      </c>
      <c r="K146" s="35">
        <v>394.25317696576741</v>
      </c>
      <c r="L146" s="35">
        <v>447.83796489313022</v>
      </c>
    </row>
    <row r="147" spans="1:12">
      <c r="A147" s="35">
        <v>223.73495166095014</v>
      </c>
      <c r="B147" s="35">
        <v>254.10443630582142</v>
      </c>
      <c r="C147" s="35">
        <v>249.67367937833217</v>
      </c>
      <c r="D147" s="35">
        <v>220.70559178168392</v>
      </c>
      <c r="E147" s="35">
        <v>261.50240702032448</v>
      </c>
      <c r="F147" s="35">
        <v>238.88688290574294</v>
      </c>
      <c r="G147" s="35">
        <v>227.29196943386293</v>
      </c>
      <c r="H147" s="35">
        <v>249.72361827651096</v>
      </c>
      <c r="I147" s="35">
        <v>282.86172858998867</v>
      </c>
      <c r="J147" s="35">
        <v>289.50581992667497</v>
      </c>
      <c r="K147" s="35">
        <v>306.84473497152351</v>
      </c>
      <c r="L147" s="35">
        <v>355.93166987793614</v>
      </c>
    </row>
    <row r="148" spans="1:12">
      <c r="A148" s="35">
        <v>234.34953207626737</v>
      </c>
      <c r="B148" s="35">
        <v>258.00545167761584</v>
      </c>
      <c r="C148" s="35">
        <v>241.90861254591488</v>
      </c>
      <c r="D148" s="35">
        <v>217.12105195323781</v>
      </c>
      <c r="E148" s="35">
        <v>268.41951436667233</v>
      </c>
      <c r="F148" s="35">
        <v>229.55422074048832</v>
      </c>
      <c r="G148" s="35">
        <v>255.73509857762622</v>
      </c>
      <c r="H148" s="35">
        <v>262.53012900486044</v>
      </c>
      <c r="I148" s="35">
        <v>288.32472165838237</v>
      </c>
      <c r="J148" s="35">
        <v>285.27618231206969</v>
      </c>
      <c r="K148" s="35">
        <v>292.62093012707521</v>
      </c>
      <c r="L148" s="35">
        <v>354.24135095615406</v>
      </c>
    </row>
    <row r="149" spans="1:12">
      <c r="A149" s="35">
        <v>242.26225812632475</v>
      </c>
      <c r="B149" s="35">
        <v>255.05120027015258</v>
      </c>
      <c r="C149" s="35">
        <v>233.69912618983824</v>
      </c>
      <c r="D149" s="35">
        <v>224.49586656205273</v>
      </c>
      <c r="E149" s="35">
        <v>260.69742806335637</v>
      </c>
      <c r="F149" s="35">
        <v>233.73230580572098</v>
      </c>
      <c r="G149" s="35">
        <v>239.54457561333948</v>
      </c>
      <c r="H149" s="35">
        <v>245.38759275714131</v>
      </c>
      <c r="I149" s="35">
        <v>255.25752558440982</v>
      </c>
      <c r="J149" s="35">
        <v>281.90836945535801</v>
      </c>
      <c r="K149" s="35">
        <v>290.32104036038862</v>
      </c>
      <c r="L149" s="35">
        <v>345.14697908091296</v>
      </c>
    </row>
    <row r="150" spans="1:12">
      <c r="A150" s="35">
        <v>234.0919550759354</v>
      </c>
      <c r="B150" s="35">
        <v>262.85561637714017</v>
      </c>
      <c r="C150" s="35">
        <v>249.29806547374517</v>
      </c>
      <c r="D150" s="35">
        <v>257.11885385741073</v>
      </c>
      <c r="E150" s="35">
        <v>287.7429307792687</v>
      </c>
      <c r="F150" s="35">
        <v>256.16293433990461</v>
      </c>
      <c r="G150" s="35">
        <v>269.99902256263778</v>
      </c>
      <c r="H150" s="35">
        <v>283.13600505745455</v>
      </c>
      <c r="I150" s="35">
        <v>290.48659380231709</v>
      </c>
      <c r="J150" s="35">
        <v>318.23635162474136</v>
      </c>
      <c r="K150" s="35">
        <v>337.59447299297261</v>
      </c>
      <c r="L150" s="35">
        <v>394.10792227282235</v>
      </c>
    </row>
    <row r="151" spans="1:12">
      <c r="A151" s="35">
        <v>257.49329955109715</v>
      </c>
      <c r="B151" s="35">
        <v>263.52685778151562</v>
      </c>
      <c r="C151" s="35">
        <v>254.9528928714636</v>
      </c>
      <c r="D151" s="35">
        <v>237.68295192863664</v>
      </c>
      <c r="E151" s="35">
        <v>276.87807163583255</v>
      </c>
      <c r="F151" s="35">
        <v>244.15821382131662</v>
      </c>
      <c r="G151" s="35">
        <v>274.2026564564207</v>
      </c>
      <c r="H151" s="35">
        <v>266.97132161779194</v>
      </c>
      <c r="I151" s="35">
        <v>297.76756492078175</v>
      </c>
      <c r="J151" s="35">
        <v>311.03211267739795</v>
      </c>
      <c r="K151" s="35">
        <v>333.60941705961778</v>
      </c>
      <c r="L151" s="35">
        <v>380.792878050203</v>
      </c>
    </row>
    <row r="152" spans="1:12">
      <c r="A152" s="35">
        <v>237.14598956098402</v>
      </c>
      <c r="B152" s="35">
        <v>257.9954157968171</v>
      </c>
      <c r="C152" s="35">
        <v>234.8369716025118</v>
      </c>
      <c r="D152" s="35">
        <v>220.3817156669931</v>
      </c>
      <c r="E152" s="35">
        <v>258.78737672962808</v>
      </c>
      <c r="F152" s="35">
        <v>226.96121710044906</v>
      </c>
      <c r="G152" s="35">
        <v>247.2238969649614</v>
      </c>
      <c r="H152" s="35">
        <v>248.08702095845803</v>
      </c>
      <c r="I152" s="35">
        <v>259.88685003971113</v>
      </c>
      <c r="J152" s="35">
        <v>269.35289905831604</v>
      </c>
      <c r="K152" s="35">
        <v>270.11649249929894</v>
      </c>
      <c r="L152" s="35">
        <v>350.87529416994317</v>
      </c>
    </row>
    <row r="153" spans="1:12">
      <c r="A153" s="35">
        <v>230.62947435986194</v>
      </c>
      <c r="B153" s="35">
        <v>269.5734374579859</v>
      </c>
      <c r="C153" s="35">
        <v>240.89875224806349</v>
      </c>
      <c r="D153" s="35">
        <v>244.00956670588235</v>
      </c>
      <c r="E153" s="35">
        <v>292.46701716924963</v>
      </c>
      <c r="F153" s="35">
        <v>272.99483751445007</v>
      </c>
      <c r="G153" s="35">
        <v>271.45494054513955</v>
      </c>
      <c r="H153" s="35">
        <v>281.53118577101247</v>
      </c>
      <c r="I153" s="35">
        <v>297.94039334317443</v>
      </c>
      <c r="J153" s="35">
        <v>321.40199200726687</v>
      </c>
      <c r="K153" s="35">
        <v>317.51734458213809</v>
      </c>
      <c r="L153" s="35">
        <v>386.71709782555331</v>
      </c>
    </row>
    <row r="154" spans="1:12">
      <c r="A154" s="35">
        <v>231.12596141063531</v>
      </c>
      <c r="B154" s="35">
        <v>243.67332480609457</v>
      </c>
      <c r="C154" s="35">
        <v>223.30526136858686</v>
      </c>
      <c r="D154" s="35">
        <v>217.03633884971944</v>
      </c>
      <c r="E154" s="35">
        <v>251.76192144451716</v>
      </c>
      <c r="F154" s="35">
        <v>205.27371678438809</v>
      </c>
      <c r="G154" s="35">
        <v>223.82004400719228</v>
      </c>
      <c r="H154" s="35">
        <v>237.25330002377802</v>
      </c>
      <c r="I154" s="35">
        <v>261.35038027121931</v>
      </c>
      <c r="J154" s="35">
        <v>259.32803221486694</v>
      </c>
      <c r="K154" s="35">
        <v>273.48215507150366</v>
      </c>
      <c r="L154" s="35">
        <v>320.06348331350409</v>
      </c>
    </row>
    <row r="155" spans="1:12">
      <c r="A155" s="35">
        <v>247.8952464720648</v>
      </c>
      <c r="B155" s="35">
        <v>253.56042676567907</v>
      </c>
      <c r="C155" s="35">
        <v>254.12381480723624</v>
      </c>
      <c r="D155" s="35">
        <v>243.03338751339373</v>
      </c>
      <c r="E155" s="35">
        <v>269.27475329693794</v>
      </c>
      <c r="F155" s="35">
        <v>217.15222789155641</v>
      </c>
      <c r="G155" s="35">
        <v>230.95810664750164</v>
      </c>
      <c r="H155" s="35">
        <v>236.80739533964964</v>
      </c>
      <c r="I155" s="35">
        <v>262.37177153398892</v>
      </c>
      <c r="J155" s="35">
        <v>270.32349941359979</v>
      </c>
      <c r="K155" s="35">
        <v>279.37552356686547</v>
      </c>
      <c r="L155" s="35">
        <v>333.79412438092157</v>
      </c>
    </row>
    <row r="156" spans="1:12">
      <c r="A156" s="35">
        <v>244.85509597458213</v>
      </c>
      <c r="B156" s="35">
        <v>270.84789490139826</v>
      </c>
      <c r="C156" s="35">
        <v>266.92244529261552</v>
      </c>
      <c r="D156" s="35">
        <v>260.24557044462165</v>
      </c>
      <c r="E156" s="35">
        <v>294.87823349307183</v>
      </c>
      <c r="F156" s="35">
        <v>275.26378330253391</v>
      </c>
      <c r="G156" s="35">
        <v>285.1472619357321</v>
      </c>
      <c r="H156" s="35">
        <v>287.92906882541757</v>
      </c>
      <c r="I156" s="35">
        <v>312.2718218802604</v>
      </c>
      <c r="J156" s="35">
        <v>325.34064803010199</v>
      </c>
      <c r="K156" s="35">
        <v>342.57104857284168</v>
      </c>
      <c r="L156" s="35">
        <v>427.1085968351465</v>
      </c>
    </row>
    <row r="157" spans="1:12">
      <c r="A157" s="35">
        <v>245.45506013768511</v>
      </c>
      <c r="B157" s="35">
        <v>268.67275568699165</v>
      </c>
      <c r="C157" s="35">
        <v>231.07607216309097</v>
      </c>
      <c r="D157" s="35">
        <v>243.61275329314518</v>
      </c>
      <c r="E157" s="35">
        <v>273.08860760285046</v>
      </c>
      <c r="F157" s="35">
        <v>223.99168486321881</v>
      </c>
      <c r="G157" s="35">
        <v>265.52581836598466</v>
      </c>
      <c r="H157" s="35">
        <v>241.9030847629509</v>
      </c>
      <c r="I157" s="35">
        <v>275.03083029673132</v>
      </c>
      <c r="J157" s="35">
        <v>292.34142569049027</v>
      </c>
      <c r="K157" s="35">
        <v>305.47137610380804</v>
      </c>
      <c r="L157" s="35">
        <v>346.11851791340666</v>
      </c>
    </row>
    <row r="158" spans="1:12">
      <c r="A158" s="35">
        <v>248.47635045807371</v>
      </c>
      <c r="B158" s="35">
        <v>273.13301379140466</v>
      </c>
      <c r="C158" s="35">
        <v>246.14114551683014</v>
      </c>
      <c r="D158" s="35">
        <v>250.07442254518932</v>
      </c>
      <c r="E158" s="35">
        <v>292.08343086249664</v>
      </c>
      <c r="F158" s="35">
        <v>259.61473363853611</v>
      </c>
      <c r="G158" s="35">
        <v>265.13621430125244</v>
      </c>
      <c r="H158" s="35">
        <v>287.72219768613434</v>
      </c>
      <c r="I158" s="35">
        <v>312.95258677071416</v>
      </c>
      <c r="J158" s="35">
        <v>333.44118816406058</v>
      </c>
      <c r="K158" s="35">
        <v>351.29256600232731</v>
      </c>
      <c r="L158" s="35">
        <v>411.40758579319396</v>
      </c>
    </row>
    <row r="159" spans="1:12">
      <c r="A159" s="35">
        <v>248.57754202127546</v>
      </c>
      <c r="B159" s="35">
        <v>262.78903820555405</v>
      </c>
      <c r="C159" s="35">
        <v>239.37041402787193</v>
      </c>
      <c r="D159" s="35">
        <v>231.70353837682694</v>
      </c>
      <c r="E159" s="35">
        <v>288.06281052753218</v>
      </c>
      <c r="F159" s="35">
        <v>253.71050270025222</v>
      </c>
      <c r="G159" s="35">
        <v>244.64747088418406</v>
      </c>
      <c r="H159" s="35">
        <v>246.64573282169829</v>
      </c>
      <c r="I159" s="35">
        <v>286.05074967893836</v>
      </c>
      <c r="J159" s="35">
        <v>291.21609329480179</v>
      </c>
      <c r="K159" s="35">
        <v>298.62987040060744</v>
      </c>
      <c r="L159" s="35">
        <v>354.35770827917838</v>
      </c>
    </row>
    <row r="160" spans="1:12">
      <c r="A160" s="35">
        <v>231.14301358852259</v>
      </c>
      <c r="B160" s="35">
        <v>249.37296768574043</v>
      </c>
      <c r="C160" s="35">
        <v>242.11910085416244</v>
      </c>
      <c r="D160" s="35">
        <v>223.98203926007594</v>
      </c>
      <c r="E160" s="35">
        <v>283.70379576692284</v>
      </c>
      <c r="F160" s="35">
        <v>257.45003693676927</v>
      </c>
      <c r="G160" s="35">
        <v>245.23628331902526</v>
      </c>
      <c r="H160" s="35">
        <v>248.41770753309325</v>
      </c>
      <c r="I160" s="35">
        <v>271.69294696893121</v>
      </c>
      <c r="J160" s="35">
        <v>283.52107014818665</v>
      </c>
      <c r="K160" s="35">
        <v>304.49166709959025</v>
      </c>
      <c r="L160" s="35">
        <v>341.78460732301176</v>
      </c>
    </row>
    <row r="161" spans="1:12">
      <c r="A161" s="35">
        <v>256.06221409474477</v>
      </c>
      <c r="B161" s="35">
        <v>269.15295931302882</v>
      </c>
      <c r="C161" s="35">
        <v>235.76690271375412</v>
      </c>
      <c r="D161" s="35">
        <v>263.9376704752213</v>
      </c>
      <c r="E161" s="35">
        <v>301.63738667989571</v>
      </c>
      <c r="F161" s="35">
        <v>264.53886134146484</v>
      </c>
      <c r="G161" s="35">
        <v>275.54887791830458</v>
      </c>
      <c r="H161" s="35">
        <v>283.23751447871126</v>
      </c>
      <c r="I161" s="35">
        <v>318.30951231397967</v>
      </c>
      <c r="J161" s="35">
        <v>329.13344026435146</v>
      </c>
      <c r="K161" s="35">
        <v>352.4377931003919</v>
      </c>
      <c r="L161" s="35">
        <v>395.41671524625201</v>
      </c>
    </row>
    <row r="162" spans="1:12">
      <c r="A162" s="35">
        <v>231.83589012472282</v>
      </c>
      <c r="B162" s="35">
        <v>262.04682687354574</v>
      </c>
      <c r="C162" s="35">
        <v>232.56138897770387</v>
      </c>
      <c r="D162" s="35">
        <v>223.66301091000395</v>
      </c>
      <c r="E162" s="35">
        <v>273.89778222444232</v>
      </c>
      <c r="F162" s="35">
        <v>243.03162037548807</v>
      </c>
      <c r="G162" s="35">
        <v>253.11568694384735</v>
      </c>
      <c r="H162" s="35">
        <v>257.96526600045104</v>
      </c>
      <c r="I162" s="35">
        <v>278.85209781161484</v>
      </c>
      <c r="J162" s="35">
        <v>284.22371164258192</v>
      </c>
      <c r="K162" s="35">
        <v>307.01139213246699</v>
      </c>
      <c r="L162" s="35">
        <v>360.01333279698798</v>
      </c>
    </row>
    <row r="163" spans="1:12">
      <c r="A163" s="35">
        <v>247.64525898882118</v>
      </c>
      <c r="B163" s="35">
        <v>260.36199202591058</v>
      </c>
      <c r="C163" s="35">
        <v>245.26487609409105</v>
      </c>
      <c r="D163" s="35">
        <v>243.61206130455568</v>
      </c>
      <c r="E163" s="35">
        <v>285.61253139520204</v>
      </c>
      <c r="F163" s="35">
        <v>252.25747661925749</v>
      </c>
      <c r="G163" s="35">
        <v>264.27301195285924</v>
      </c>
      <c r="H163" s="35">
        <v>277.27491839708313</v>
      </c>
      <c r="I163" s="35">
        <v>298.52166248572593</v>
      </c>
      <c r="J163" s="35">
        <v>314.73578357917171</v>
      </c>
      <c r="K163" s="35">
        <v>325.9701435792756</v>
      </c>
      <c r="L163" s="35">
        <v>380.19991712860752</v>
      </c>
    </row>
    <row r="164" spans="1:12">
      <c r="A164" s="35">
        <v>248.45994133202919</v>
      </c>
      <c r="B164" s="35">
        <v>265.52129946955694</v>
      </c>
      <c r="C164" s="35">
        <v>251.20889161033051</v>
      </c>
      <c r="D164" s="35">
        <v>243.7551184213502</v>
      </c>
      <c r="E164" s="35">
        <v>303.15635672226506</v>
      </c>
      <c r="F164" s="35">
        <v>252.86815384123057</v>
      </c>
      <c r="G164" s="35">
        <v>263.93448184729158</v>
      </c>
      <c r="H164" s="35">
        <v>304.00604166132831</v>
      </c>
      <c r="I164" s="35">
        <v>303.75328667468528</v>
      </c>
      <c r="J164" s="35">
        <v>330.31834659066533</v>
      </c>
      <c r="K164" s="35">
        <v>352.5035460158615</v>
      </c>
      <c r="L164" s="35">
        <v>429.36142406662032</v>
      </c>
    </row>
    <row r="165" spans="1:12">
      <c r="A165" s="35">
        <v>250.45169292978102</v>
      </c>
      <c r="B165" s="35">
        <v>271.2137979103818</v>
      </c>
      <c r="C165" s="35">
        <v>256.85809238959325</v>
      </c>
      <c r="D165" s="35">
        <v>250.37797779965675</v>
      </c>
      <c r="E165" s="35">
        <v>297.17914776404115</v>
      </c>
      <c r="F165" s="35">
        <v>245.79701746888284</v>
      </c>
      <c r="G165" s="35">
        <v>262.34731670717593</v>
      </c>
      <c r="H165" s="35">
        <v>273.8940551458407</v>
      </c>
      <c r="I165" s="35">
        <v>279.10856055311581</v>
      </c>
      <c r="J165" s="35">
        <v>309.70041611375541</v>
      </c>
      <c r="K165" s="35">
        <v>319.02037149031457</v>
      </c>
      <c r="L165" s="35">
        <v>354.32898749947202</v>
      </c>
    </row>
    <row r="166" spans="1:12">
      <c r="A166" s="35">
        <v>245.61123708137094</v>
      </c>
      <c r="B166" s="35">
        <v>247.70244614858228</v>
      </c>
      <c r="C166" s="35">
        <v>248.25124360840181</v>
      </c>
      <c r="D166" s="35">
        <v>242.51163001976664</v>
      </c>
      <c r="E166" s="35">
        <v>279.08665218964381</v>
      </c>
      <c r="F166" s="35">
        <v>268.91984672138216</v>
      </c>
      <c r="G166" s="35">
        <v>278.46643429958061</v>
      </c>
      <c r="H166" s="35">
        <v>279.11423706565563</v>
      </c>
      <c r="I166" s="35">
        <v>309.06637255463454</v>
      </c>
      <c r="J166" s="35">
        <v>319.98859144767721</v>
      </c>
      <c r="K166" s="35">
        <v>336.67431967817424</v>
      </c>
      <c r="L166" s="35">
        <v>397.30432787865379</v>
      </c>
    </row>
    <row r="167" spans="1:12">
      <c r="A167" s="35">
        <v>240.34474464244943</v>
      </c>
      <c r="B167" s="35">
        <v>265.03907247496659</v>
      </c>
      <c r="C167" s="35">
        <v>251.61737501870067</v>
      </c>
      <c r="D167" s="35">
        <v>229.22306800081543</v>
      </c>
      <c r="E167" s="35">
        <v>278.12551889735232</v>
      </c>
      <c r="F167" s="35">
        <v>257.30046334259396</v>
      </c>
      <c r="G167" s="35">
        <v>255.3466744907293</v>
      </c>
      <c r="H167" s="35">
        <v>275.45031139047148</v>
      </c>
      <c r="I167" s="35">
        <v>311.15733194888145</v>
      </c>
      <c r="J167" s="35">
        <v>299.90700798028962</v>
      </c>
      <c r="K167" s="35">
        <v>328.05767954035917</v>
      </c>
      <c r="L167" s="35">
        <v>390.90102613453263</v>
      </c>
    </row>
    <row r="168" spans="1:12">
      <c r="A168" s="35">
        <v>245.40601374591569</v>
      </c>
      <c r="B168" s="35">
        <v>264.05236285909598</v>
      </c>
      <c r="C168" s="35">
        <v>256.05615177647081</v>
      </c>
      <c r="D168" s="35">
        <v>246.5113253342393</v>
      </c>
      <c r="E168" s="35">
        <v>286.96498757061602</v>
      </c>
      <c r="F168" s="35">
        <v>269.872235711857</v>
      </c>
      <c r="G168" s="35">
        <v>271.80836794308777</v>
      </c>
      <c r="H168" s="35">
        <v>286.2612945613422</v>
      </c>
      <c r="I168" s="35">
        <v>326.09300375135211</v>
      </c>
      <c r="J168" s="35">
        <v>336.93928268013184</v>
      </c>
      <c r="K168" s="35">
        <v>352.20342845108866</v>
      </c>
      <c r="L168" s="35">
        <v>406.44450795745587</v>
      </c>
    </row>
    <row r="169" spans="1:12">
      <c r="A169" s="35">
        <v>237.54212023461054</v>
      </c>
      <c r="B169" s="35">
        <v>256.50374512482091</v>
      </c>
      <c r="C169" s="35">
        <v>239.97074105959092</v>
      </c>
      <c r="D169" s="35">
        <v>239.3443243242136</v>
      </c>
      <c r="E169" s="35">
        <v>260.22600405172955</v>
      </c>
      <c r="F169" s="35">
        <v>252.02873541431134</v>
      </c>
      <c r="G169" s="35">
        <v>257.22997518424404</v>
      </c>
      <c r="H169" s="35">
        <v>266.48485119522581</v>
      </c>
      <c r="I169" s="35">
        <v>284.9034193959356</v>
      </c>
      <c r="J169" s="35">
        <v>303.32037813613152</v>
      </c>
      <c r="K169" s="35">
        <v>309.75235321572296</v>
      </c>
      <c r="L169" s="35">
        <v>357.02463369336147</v>
      </c>
    </row>
    <row r="170" spans="1:12">
      <c r="A170" s="35">
        <v>237.99129940078228</v>
      </c>
      <c r="B170" s="35">
        <v>268.14919042599314</v>
      </c>
      <c r="C170" s="35">
        <v>263.30723634674922</v>
      </c>
      <c r="D170" s="35">
        <v>241.70532252957469</v>
      </c>
      <c r="E170" s="35">
        <v>315.11293277833857</v>
      </c>
      <c r="F170" s="35">
        <v>259.91510577191849</v>
      </c>
      <c r="G170" s="35">
        <v>277.24681908571148</v>
      </c>
      <c r="H170" s="35">
        <v>295.76897969561247</v>
      </c>
      <c r="I170" s="35">
        <v>324.88413433762804</v>
      </c>
      <c r="J170" s="35">
        <v>343.41255291493007</v>
      </c>
      <c r="K170" s="35">
        <v>346.50837396706538</v>
      </c>
      <c r="L170" s="35">
        <v>408.40176969861682</v>
      </c>
    </row>
    <row r="171" spans="1:12">
      <c r="A171" s="35">
        <v>246.41132563192986</v>
      </c>
      <c r="B171" s="35">
        <v>255.28163217962009</v>
      </c>
      <c r="C171" s="35">
        <v>238.06760318071971</v>
      </c>
      <c r="D171" s="35">
        <v>239.52187038552174</v>
      </c>
      <c r="E171" s="35">
        <v>271.96824657002998</v>
      </c>
      <c r="F171" s="35">
        <v>246.51746415372767</v>
      </c>
      <c r="G171" s="35">
        <v>230.99245772428634</v>
      </c>
      <c r="H171" s="35">
        <v>243.87234235537329</v>
      </c>
      <c r="I171" s="35">
        <v>254.24324591988884</v>
      </c>
      <c r="J171" s="35">
        <v>267.77816195945707</v>
      </c>
      <c r="K171" s="35">
        <v>259.59798919961486</v>
      </c>
      <c r="L171" s="35">
        <v>324.2274371378673</v>
      </c>
    </row>
    <row r="172" spans="1:12">
      <c r="A172" s="35">
        <v>244.91054373835976</v>
      </c>
      <c r="B172" s="35">
        <v>261.47269522818129</v>
      </c>
      <c r="C172" s="35">
        <v>226.06824513663133</v>
      </c>
      <c r="D172" s="35">
        <v>236.3094151223213</v>
      </c>
      <c r="E172" s="35">
        <v>272.43367643278657</v>
      </c>
      <c r="F172" s="35">
        <v>240.01883791938795</v>
      </c>
      <c r="G172" s="35">
        <v>235.24363499874755</v>
      </c>
      <c r="H172" s="35">
        <v>264.5768591033501</v>
      </c>
      <c r="I172" s="35">
        <v>269.54963617051322</v>
      </c>
      <c r="J172" s="35">
        <v>279.86208060194463</v>
      </c>
      <c r="K172" s="35">
        <v>310.64311481875944</v>
      </c>
      <c r="L172" s="35">
        <v>335.07590664199074</v>
      </c>
    </row>
    <row r="173" spans="1:12">
      <c r="A173" s="35">
        <v>248.63406996701423</v>
      </c>
      <c r="B173" s="35">
        <v>249.62391488820401</v>
      </c>
      <c r="C173" s="35">
        <v>239.82911080212077</v>
      </c>
      <c r="D173" s="35">
        <v>224.55753631123707</v>
      </c>
      <c r="E173" s="35">
        <v>270.66641199698961</v>
      </c>
      <c r="F173" s="35">
        <v>246.68715946086226</v>
      </c>
      <c r="G173" s="35">
        <v>240.16458364623222</v>
      </c>
      <c r="H173" s="35">
        <v>250.90922920660338</v>
      </c>
      <c r="I173" s="35">
        <v>276.85828462886968</v>
      </c>
      <c r="J173" s="35">
        <v>289.73595403266506</v>
      </c>
      <c r="K173" s="35">
        <v>303.63456083606661</v>
      </c>
      <c r="L173" s="35">
        <v>360.52371289539968</v>
      </c>
    </row>
    <row r="174" spans="1:12">
      <c r="A174" s="35">
        <v>233.14101171907578</v>
      </c>
      <c r="B174" s="35">
        <v>257.97189383374661</v>
      </c>
      <c r="C174" s="35">
        <v>237.24715999188768</v>
      </c>
      <c r="D174" s="35">
        <v>237.91253329965807</v>
      </c>
      <c r="E174" s="35">
        <v>287.87487923852319</v>
      </c>
      <c r="F174" s="35">
        <v>253.62225543127195</v>
      </c>
      <c r="G174" s="35">
        <v>251.64994413937842</v>
      </c>
      <c r="H174" s="35">
        <v>269.09710102734238</v>
      </c>
      <c r="I174" s="35">
        <v>282.77309675620739</v>
      </c>
      <c r="J174" s="35">
        <v>298.31363931110866</v>
      </c>
      <c r="K174" s="35">
        <v>302.28124712447271</v>
      </c>
      <c r="L174" s="35">
        <v>369.12744469181337</v>
      </c>
    </row>
    <row r="175" spans="1:12">
      <c r="A175" s="35">
        <v>230.52190776589856</v>
      </c>
      <c r="B175" s="35">
        <v>258.65147550837639</v>
      </c>
      <c r="C175" s="35">
        <v>235.42803974046203</v>
      </c>
      <c r="D175" s="35">
        <v>228.46232957362076</v>
      </c>
      <c r="E175" s="35">
        <v>276.19722260966</v>
      </c>
      <c r="F175" s="35">
        <v>229.7634380709803</v>
      </c>
      <c r="G175" s="35">
        <v>225.24852716360817</v>
      </c>
      <c r="H175" s="35">
        <v>243.82788140903483</v>
      </c>
      <c r="I175" s="35">
        <v>259.34111517096005</v>
      </c>
      <c r="J175" s="35">
        <v>264.22137857404061</v>
      </c>
      <c r="K175" s="35">
        <v>293.15914917820601</v>
      </c>
      <c r="L175" s="35">
        <v>317.09527869601044</v>
      </c>
    </row>
    <row r="176" spans="1:12">
      <c r="A176" s="35">
        <v>253.74384294641106</v>
      </c>
      <c r="B176" s="35">
        <v>268.08839952878401</v>
      </c>
      <c r="C176" s="35">
        <v>242.58217945775147</v>
      </c>
      <c r="D176" s="35">
        <v>245.66363782814653</v>
      </c>
      <c r="E176" s="35">
        <v>294.00130813932185</v>
      </c>
      <c r="F176" s="35">
        <v>260.52421048348748</v>
      </c>
      <c r="G176" s="35">
        <v>253.11712527041306</v>
      </c>
      <c r="H176" s="35">
        <v>267.28738594223825</v>
      </c>
      <c r="I176" s="35">
        <v>278.80732792189087</v>
      </c>
      <c r="J176" s="35">
        <v>299.38495364183228</v>
      </c>
      <c r="K176" s="35">
        <v>315.9366333688854</v>
      </c>
      <c r="L176" s="35">
        <v>361.70252313267662</v>
      </c>
    </row>
    <row r="177" spans="1:12">
      <c r="A177" s="35">
        <v>248.7074216800209</v>
      </c>
      <c r="B177" s="35">
        <v>256.19360825822156</v>
      </c>
      <c r="C177" s="35">
        <v>242.06238901623291</v>
      </c>
      <c r="D177" s="35">
        <v>238.53003892166942</v>
      </c>
      <c r="E177" s="35">
        <v>285.4460706371915</v>
      </c>
      <c r="F177" s="35">
        <v>249.48226189080609</v>
      </c>
      <c r="G177" s="35">
        <v>286.96677395519498</v>
      </c>
      <c r="H177" s="35">
        <v>291.26894163388215</v>
      </c>
      <c r="I177" s="35">
        <v>292.52993106284254</v>
      </c>
      <c r="J177" s="35">
        <v>321.66449067636358</v>
      </c>
      <c r="K177" s="35">
        <v>339.50690421774652</v>
      </c>
      <c r="L177" s="35">
        <v>407.17434411429332</v>
      </c>
    </row>
    <row r="178" spans="1:12">
      <c r="A178" s="35">
        <v>251.18767312671574</v>
      </c>
      <c r="B178" s="35">
        <v>253.683727293137</v>
      </c>
      <c r="C178" s="35">
        <v>241.24419187137184</v>
      </c>
      <c r="D178" s="35">
        <v>252.72545861649232</v>
      </c>
      <c r="E178" s="35">
        <v>279.20825286836651</v>
      </c>
      <c r="F178" s="35">
        <v>239.4809957129003</v>
      </c>
      <c r="G178" s="35">
        <v>254.90328164792325</v>
      </c>
      <c r="H178" s="35">
        <v>259.22091598827865</v>
      </c>
      <c r="I178" s="35">
        <v>297.79418970410381</v>
      </c>
      <c r="J178" s="35">
        <v>315.17942725151732</v>
      </c>
      <c r="K178" s="35">
        <v>331.1906924318485</v>
      </c>
      <c r="L178" s="35">
        <v>402.81045499111099</v>
      </c>
    </row>
    <row r="179" spans="1:12">
      <c r="A179" s="35">
        <v>231.5421664623085</v>
      </c>
      <c r="B179" s="35">
        <v>248.25410806944427</v>
      </c>
      <c r="C179" s="35">
        <v>238.85676623058953</v>
      </c>
      <c r="D179" s="35">
        <v>246.88284050323767</v>
      </c>
      <c r="E179" s="35">
        <v>281.9508962583277</v>
      </c>
      <c r="F179" s="35">
        <v>239.33864240330814</v>
      </c>
      <c r="G179" s="35">
        <v>250.40782174242045</v>
      </c>
      <c r="H179" s="35">
        <v>263.10112366396066</v>
      </c>
      <c r="I179" s="35">
        <v>282.92163302430072</v>
      </c>
      <c r="J179" s="35">
        <v>290.50472876720067</v>
      </c>
      <c r="K179" s="35">
        <v>312.68255790830653</v>
      </c>
      <c r="L179" s="35">
        <v>358.13442863590859</v>
      </c>
    </row>
    <row r="180" spans="1:12">
      <c r="A180" s="35">
        <v>233.42975227562491</v>
      </c>
      <c r="B180" s="35">
        <v>254.739746342579</v>
      </c>
      <c r="C180" s="35">
        <v>232.93417461244783</v>
      </c>
      <c r="D180" s="35">
        <v>238.6306048335789</v>
      </c>
      <c r="E180" s="35">
        <v>279.23598627213886</v>
      </c>
      <c r="F180" s="35">
        <v>235.55892585009104</v>
      </c>
      <c r="G180" s="35">
        <v>255.09380217248716</v>
      </c>
      <c r="H180" s="35">
        <v>260.45270141902904</v>
      </c>
      <c r="I180" s="35">
        <v>286.85276700269509</v>
      </c>
      <c r="J180" s="35">
        <v>285.06719912594315</v>
      </c>
      <c r="K180" s="35">
        <v>279.78780886204771</v>
      </c>
      <c r="L180" s="35">
        <v>348.20523502951283</v>
      </c>
    </row>
    <row r="181" spans="1:12">
      <c r="A181" s="35">
        <v>249.12878248628098</v>
      </c>
      <c r="B181" s="35">
        <v>271.17611461225965</v>
      </c>
      <c r="C181" s="35">
        <v>243.24201831886737</v>
      </c>
      <c r="D181" s="35">
        <v>251.65490672061824</v>
      </c>
      <c r="E181" s="35">
        <v>308.3162359752551</v>
      </c>
      <c r="F181" s="35">
        <v>272.4661837779347</v>
      </c>
      <c r="G181" s="35">
        <v>266.26986748885463</v>
      </c>
      <c r="H181" s="35">
        <v>292.64036227393996</v>
      </c>
      <c r="I181" s="35">
        <v>316.60979520888941</v>
      </c>
      <c r="J181" s="35">
        <v>329.46505115674057</v>
      </c>
      <c r="K181" s="35">
        <v>333.15861066108209</v>
      </c>
      <c r="L181" s="35">
        <v>402.9240429418557</v>
      </c>
    </row>
    <row r="182" spans="1:12">
      <c r="A182" s="35">
        <v>238.81842292983816</v>
      </c>
      <c r="B182" s="35">
        <v>271.2814885942297</v>
      </c>
      <c r="C182" s="35">
        <v>261.92830759707653</v>
      </c>
      <c r="D182" s="35">
        <v>245.68899159022877</v>
      </c>
      <c r="E182" s="35">
        <v>284.33782965673595</v>
      </c>
      <c r="F182" s="35">
        <v>253.60379284863103</v>
      </c>
      <c r="G182" s="35">
        <v>253.03289973177652</v>
      </c>
      <c r="H182" s="35">
        <v>249.69724889197443</v>
      </c>
      <c r="I182" s="35">
        <v>282.49482034691221</v>
      </c>
      <c r="J182" s="35">
        <v>289.2993003766577</v>
      </c>
      <c r="K182" s="35">
        <v>293.15084592759405</v>
      </c>
      <c r="L182" s="35">
        <v>343.01056744170313</v>
      </c>
    </row>
    <row r="183" spans="1:12">
      <c r="A183" s="35">
        <v>252.26457484814119</v>
      </c>
      <c r="B183" s="35">
        <v>266.09392879946671</v>
      </c>
      <c r="C183" s="35">
        <v>254.49980361456539</v>
      </c>
      <c r="D183" s="35">
        <v>246.38206185858627</v>
      </c>
      <c r="E183" s="35">
        <v>269.61907533256448</v>
      </c>
      <c r="F183" s="35">
        <v>259.06012767758494</v>
      </c>
      <c r="G183" s="35">
        <v>253.10048746663009</v>
      </c>
      <c r="H183" s="35">
        <v>265.09170176205487</v>
      </c>
      <c r="I183" s="35">
        <v>301.2955818901151</v>
      </c>
      <c r="J183" s="35">
        <v>295.33666089099563</v>
      </c>
      <c r="K183" s="35">
        <v>326.86686433704517</v>
      </c>
      <c r="L183" s="35">
        <v>378.76045025501094</v>
      </c>
    </row>
    <row r="184" spans="1:12">
      <c r="A184" s="35">
        <v>237.20102824365571</v>
      </c>
      <c r="B184" s="35">
        <v>239.71994518914585</v>
      </c>
      <c r="C184" s="35">
        <v>209.12208624361199</v>
      </c>
      <c r="D184" s="35">
        <v>230.73806785322176</v>
      </c>
      <c r="E184" s="35">
        <v>250.86315310365592</v>
      </c>
      <c r="F184" s="35">
        <v>224.51279464456164</v>
      </c>
      <c r="G184" s="35">
        <v>229.49796330098619</v>
      </c>
      <c r="H184" s="35">
        <v>255.21568982857673</v>
      </c>
      <c r="I184" s="35">
        <v>248.52394968606461</v>
      </c>
      <c r="J184" s="35">
        <v>258.29581347930201</v>
      </c>
      <c r="K184" s="35">
        <v>277.56051298070582</v>
      </c>
      <c r="L184" s="35">
        <v>302.19433423204981</v>
      </c>
    </row>
    <row r="185" spans="1:12">
      <c r="A185" s="35">
        <v>255.80068067316884</v>
      </c>
      <c r="B185" s="35">
        <v>261.15715194399195</v>
      </c>
      <c r="C185" s="35">
        <v>241.19893570701907</v>
      </c>
      <c r="D185" s="35">
        <v>263.84880571913845</v>
      </c>
      <c r="E185" s="35">
        <v>296.11532645248502</v>
      </c>
      <c r="F185" s="35">
        <v>269.58137411585187</v>
      </c>
      <c r="G185" s="35">
        <v>268.40325692388689</v>
      </c>
      <c r="H185" s="35">
        <v>276.52590367183859</v>
      </c>
      <c r="I185" s="35">
        <v>306.73453944522294</v>
      </c>
      <c r="J185" s="35">
        <v>311.17458073762816</v>
      </c>
      <c r="K185" s="35">
        <v>351.82569398968468</v>
      </c>
      <c r="L185" s="35">
        <v>392.98226241316888</v>
      </c>
    </row>
    <row r="186" spans="1:12">
      <c r="A186" s="35">
        <v>235.612339601793</v>
      </c>
      <c r="B186" s="35">
        <v>282.48882742620714</v>
      </c>
      <c r="C186" s="35">
        <v>234.7873747669876</v>
      </c>
      <c r="D186" s="35">
        <v>244.88773588126713</v>
      </c>
      <c r="E186" s="35">
        <v>305.51787986266322</v>
      </c>
      <c r="F186" s="35">
        <v>263.55991724383858</v>
      </c>
      <c r="G186" s="35">
        <v>293.75551725323675</v>
      </c>
      <c r="H186" s="35">
        <v>285.41758662432051</v>
      </c>
      <c r="I186" s="35">
        <v>320.52117276575444</v>
      </c>
      <c r="J186" s="35">
        <v>337.64213416423678</v>
      </c>
      <c r="K186" s="35">
        <v>353.01720841286146</v>
      </c>
      <c r="L186" s="35">
        <v>419.66465239409268</v>
      </c>
    </row>
    <row r="187" spans="1:12">
      <c r="A187" s="35">
        <v>248.21434570801478</v>
      </c>
      <c r="B187" s="35">
        <v>251.25156435080507</v>
      </c>
      <c r="C187" s="35">
        <v>245.43669563963022</v>
      </c>
      <c r="D187" s="35">
        <v>235.48871372046244</v>
      </c>
      <c r="E187" s="35">
        <v>281.88220251245627</v>
      </c>
      <c r="F187" s="35">
        <v>251.63271911167669</v>
      </c>
      <c r="G187" s="35">
        <v>262.53786339017086</v>
      </c>
      <c r="H187" s="35">
        <v>280.41442406835881</v>
      </c>
      <c r="I187" s="35">
        <v>293.01301189874215</v>
      </c>
      <c r="J187" s="35">
        <v>315.32912320984605</v>
      </c>
      <c r="K187" s="35">
        <v>330.46260579837502</v>
      </c>
      <c r="L187" s="35">
        <v>386.76905128939103</v>
      </c>
    </row>
    <row r="188" spans="1:12">
      <c r="A188" s="35">
        <v>252.63662816157492</v>
      </c>
      <c r="B188" s="35">
        <v>267.1324124251588</v>
      </c>
      <c r="C188" s="35">
        <v>222.6365912283614</v>
      </c>
      <c r="D188" s="35">
        <v>228.01689838936139</v>
      </c>
      <c r="E188" s="35">
        <v>275.92456704383341</v>
      </c>
      <c r="F188" s="35">
        <v>225.89692891340948</v>
      </c>
      <c r="G188" s="35">
        <v>233.62810405096397</v>
      </c>
      <c r="H188" s="35">
        <v>249.85568852543648</v>
      </c>
      <c r="I188" s="35">
        <v>258.722402391385</v>
      </c>
      <c r="J188" s="35">
        <v>276.55800766333505</v>
      </c>
      <c r="K188" s="35">
        <v>278.3479766241316</v>
      </c>
      <c r="L188" s="35">
        <v>330.43624151005599</v>
      </c>
    </row>
    <row r="189" spans="1:12">
      <c r="A189" s="35">
        <v>249.76380862067029</v>
      </c>
      <c r="B189" s="35">
        <v>260.72784137573689</v>
      </c>
      <c r="C189" s="35">
        <v>249.96825380808954</v>
      </c>
      <c r="D189" s="35">
        <v>257.65451858335808</v>
      </c>
      <c r="E189" s="35">
        <v>278.02519452673636</v>
      </c>
      <c r="F189" s="35">
        <v>249.68150995795244</v>
      </c>
      <c r="G189" s="35">
        <v>258.3724805606293</v>
      </c>
      <c r="H189" s="35">
        <v>267.71736535675717</v>
      </c>
      <c r="I189" s="35">
        <v>291.37775204025104</v>
      </c>
      <c r="J189" s="35">
        <v>311.10566014599488</v>
      </c>
      <c r="K189" s="35">
        <v>333.09395717914464</v>
      </c>
      <c r="L189" s="35">
        <v>397.9099503885484</v>
      </c>
    </row>
    <row r="190" spans="1:12">
      <c r="A190" s="35">
        <v>241.80322071266866</v>
      </c>
      <c r="B190" s="35">
        <v>265.38736456540209</v>
      </c>
      <c r="C190" s="35">
        <v>244.46623926689384</v>
      </c>
      <c r="D190" s="35">
        <v>244.15407890092297</v>
      </c>
      <c r="E190" s="35">
        <v>272.38777563365022</v>
      </c>
      <c r="F190" s="35">
        <v>235.62188333759045</v>
      </c>
      <c r="G190" s="35">
        <v>251.58349527377541</v>
      </c>
      <c r="H190" s="35">
        <v>240.66969859204764</v>
      </c>
      <c r="I190" s="35">
        <v>262.53024551452063</v>
      </c>
      <c r="J190" s="35">
        <v>304.58036627287163</v>
      </c>
      <c r="K190" s="35">
        <v>302.80873820510982</v>
      </c>
      <c r="L190" s="35">
        <v>357.1696540078006</v>
      </c>
    </row>
    <row r="191" spans="1:12">
      <c r="A191" s="35">
        <v>234.04642107729759</v>
      </c>
      <c r="B191" s="35">
        <v>258.05886780717361</v>
      </c>
      <c r="C191" s="35">
        <v>232.71705778010107</v>
      </c>
      <c r="D191" s="35">
        <v>230.79643352885753</v>
      </c>
      <c r="E191" s="35">
        <v>263.87504382698495</v>
      </c>
      <c r="F191" s="35">
        <v>233.93493875955994</v>
      </c>
      <c r="G191" s="35">
        <v>220.32882155443215</v>
      </c>
      <c r="H191" s="35">
        <v>246.01161899576266</v>
      </c>
      <c r="I191" s="35">
        <v>251.61991606036929</v>
      </c>
      <c r="J191" s="35">
        <v>252.06176617867436</v>
      </c>
      <c r="K191" s="35">
        <v>255.14987389539584</v>
      </c>
      <c r="L191" s="35">
        <v>293.66820449577472</v>
      </c>
    </row>
    <row r="192" spans="1:12">
      <c r="A192" s="35">
        <v>257.59234864907251</v>
      </c>
      <c r="B192" s="35">
        <v>280.02039417293543</v>
      </c>
      <c r="C192" s="35">
        <v>251.61976679053657</v>
      </c>
      <c r="D192" s="35">
        <v>279.54835316802377</v>
      </c>
      <c r="E192" s="35">
        <v>286.52520424261127</v>
      </c>
      <c r="F192" s="35">
        <v>271.09976312741418</v>
      </c>
      <c r="G192" s="35">
        <v>287.10686017085607</v>
      </c>
      <c r="H192" s="35">
        <v>301.81508013239767</v>
      </c>
      <c r="I192" s="35">
        <v>321.8048111530648</v>
      </c>
      <c r="J192" s="35">
        <v>336.08391642026834</v>
      </c>
      <c r="K192" s="35">
        <v>369.14563144309255</v>
      </c>
      <c r="L192" s="35">
        <v>410.21794048773222</v>
      </c>
    </row>
    <row r="193" spans="1:12">
      <c r="A193" s="35">
        <v>237.73059113552969</v>
      </c>
      <c r="B193" s="35">
        <v>262.54704762248309</v>
      </c>
      <c r="C193" s="35">
        <v>252.59206343651971</v>
      </c>
      <c r="D193" s="35">
        <v>237.40018454293278</v>
      </c>
      <c r="E193" s="35">
        <v>276.74070305190577</v>
      </c>
      <c r="F193" s="35">
        <v>261.88376825889128</v>
      </c>
      <c r="G193" s="35">
        <v>277.04540177665689</v>
      </c>
      <c r="H193" s="35">
        <v>268.52427121357869</v>
      </c>
      <c r="I193" s="35">
        <v>288.63413452074144</v>
      </c>
      <c r="J193" s="35">
        <v>305.08508750664311</v>
      </c>
      <c r="K193" s="35">
        <v>326.53416119039446</v>
      </c>
      <c r="L193" s="35">
        <v>368.65703167819305</v>
      </c>
    </row>
    <row r="194" spans="1:12">
      <c r="A194" s="35">
        <v>244.26393369675714</v>
      </c>
      <c r="B194" s="35">
        <v>276.8833593551679</v>
      </c>
      <c r="C194" s="35">
        <v>246.33422089072201</v>
      </c>
      <c r="D194" s="35">
        <v>238.41885435468356</v>
      </c>
      <c r="E194" s="35">
        <v>283.10746517350748</v>
      </c>
      <c r="F194" s="35">
        <v>258.11892817187788</v>
      </c>
      <c r="G194" s="35">
        <v>262.80705845620406</v>
      </c>
      <c r="H194" s="35">
        <v>266.25299186307114</v>
      </c>
      <c r="I194" s="35">
        <v>283.57524811083539</v>
      </c>
      <c r="J194" s="35">
        <v>320.14567685432746</v>
      </c>
      <c r="K194" s="35">
        <v>345.0643800779489</v>
      </c>
      <c r="L194" s="35">
        <v>402.1279547609883</v>
      </c>
    </row>
    <row r="195" spans="1:12">
      <c r="A195" s="35">
        <v>237.35311342724609</v>
      </c>
      <c r="B195" s="35">
        <v>264.91100212320748</v>
      </c>
      <c r="C195" s="35">
        <v>227.45820699606938</v>
      </c>
      <c r="D195" s="35">
        <v>217.29573610955538</v>
      </c>
      <c r="E195" s="35">
        <v>255.66205048681715</v>
      </c>
      <c r="F195" s="35">
        <v>219.81258759075416</v>
      </c>
      <c r="G195" s="35">
        <v>195.82481615047604</v>
      </c>
      <c r="H195" s="35">
        <v>214.7260545630422</v>
      </c>
      <c r="I195" s="35">
        <v>230.79586900473481</v>
      </c>
      <c r="J195" s="35">
        <v>224.68323926242425</v>
      </c>
      <c r="K195" s="35">
        <v>250.26243770854256</v>
      </c>
      <c r="L195" s="35">
        <v>288.08535873385284</v>
      </c>
    </row>
    <row r="196" spans="1:12">
      <c r="A196" s="35">
        <v>229.83861243985464</v>
      </c>
      <c r="B196" s="35">
        <v>262.32429336480982</v>
      </c>
      <c r="C196" s="35">
        <v>258.89581335190462</v>
      </c>
      <c r="D196" s="35">
        <v>262.08233135484926</v>
      </c>
      <c r="E196" s="35">
        <v>292.84501355200365</v>
      </c>
      <c r="F196" s="35">
        <v>262.5168860363716</v>
      </c>
      <c r="G196" s="35">
        <v>276.16353914038825</v>
      </c>
      <c r="H196" s="35">
        <v>289.1692583375617</v>
      </c>
      <c r="I196" s="35">
        <v>301.60097841760125</v>
      </c>
      <c r="J196" s="35">
        <v>311.02493612591826</v>
      </c>
      <c r="K196" s="35">
        <v>337.86473424617009</v>
      </c>
      <c r="L196" s="35">
        <v>394.59538571382183</v>
      </c>
    </row>
    <row r="197" spans="1:12">
      <c r="A197" s="35">
        <v>246.63269287730529</v>
      </c>
      <c r="B197" s="35">
        <v>280.46611406524238</v>
      </c>
      <c r="C197" s="35">
        <v>258.36394583916132</v>
      </c>
      <c r="D197" s="35">
        <v>264.89845777220944</v>
      </c>
      <c r="E197" s="35">
        <v>298.24500805857326</v>
      </c>
      <c r="F197" s="35">
        <v>267.7372881711791</v>
      </c>
      <c r="G197" s="35">
        <v>275.96468476924599</v>
      </c>
      <c r="H197" s="35">
        <v>288.66001343225031</v>
      </c>
      <c r="I197" s="35">
        <v>317.9520751172023</v>
      </c>
      <c r="J197" s="35">
        <v>333.39603911130052</v>
      </c>
      <c r="K197" s="35">
        <v>354.16628500797862</v>
      </c>
      <c r="L197" s="35">
        <v>431.69100002036993</v>
      </c>
    </row>
    <row r="198" spans="1:12">
      <c r="A198" s="35">
        <v>238.22855814486249</v>
      </c>
      <c r="B198" s="35">
        <v>258.74088143340731</v>
      </c>
      <c r="C198" s="35">
        <v>230.32050081393146</v>
      </c>
      <c r="D198" s="35">
        <v>216.17977593936152</v>
      </c>
      <c r="E198" s="35">
        <v>251.97059801689176</v>
      </c>
      <c r="F198" s="35">
        <v>223.73196192101005</v>
      </c>
      <c r="G198" s="35">
        <v>214.11193655734587</v>
      </c>
      <c r="H198" s="35">
        <v>227.10378973952729</v>
      </c>
      <c r="I198" s="35">
        <v>230.09038409953192</v>
      </c>
      <c r="J198" s="35">
        <v>225.97068935228901</v>
      </c>
      <c r="K198" s="35">
        <v>250.82007133590074</v>
      </c>
      <c r="L198" s="35">
        <v>276.46296058089388</v>
      </c>
    </row>
    <row r="199" spans="1:12">
      <c r="A199" s="35">
        <v>242.12530956476357</v>
      </c>
      <c r="B199" s="35">
        <v>256.7304336817611</v>
      </c>
      <c r="C199" s="35">
        <v>247.97975395978415</v>
      </c>
      <c r="D199" s="35">
        <v>242.63842719138745</v>
      </c>
      <c r="E199" s="35">
        <v>285.12648170271825</v>
      </c>
      <c r="F199" s="35">
        <v>252.12444127992322</v>
      </c>
      <c r="G199" s="35">
        <v>257.02491669702943</v>
      </c>
      <c r="H199" s="35">
        <v>276.53616179036442</v>
      </c>
      <c r="I199" s="35">
        <v>286.34919409741741</v>
      </c>
      <c r="J199" s="35">
        <v>310.14074286108092</v>
      </c>
      <c r="K199" s="35">
        <v>323.47471905813069</v>
      </c>
      <c r="L199" s="35">
        <v>386.02941783523931</v>
      </c>
    </row>
    <row r="200" spans="1:12">
      <c r="A200" s="35">
        <v>220.15289253947842</v>
      </c>
      <c r="B200" s="35">
        <v>239.82004624795735</v>
      </c>
      <c r="C200" s="35">
        <v>231.1435973619478</v>
      </c>
      <c r="D200" s="35">
        <v>217.87434604308191</v>
      </c>
      <c r="E200" s="35">
        <v>250.34466807902501</v>
      </c>
      <c r="F200" s="35">
        <v>238.12013617469438</v>
      </c>
      <c r="G200" s="35">
        <v>228.99930714690413</v>
      </c>
      <c r="H200" s="35">
        <v>237.02345230343138</v>
      </c>
      <c r="I200" s="35">
        <v>283.36112661802781</v>
      </c>
      <c r="J200" s="35">
        <v>274.56059616568405</v>
      </c>
      <c r="K200" s="35">
        <v>297.235327889117</v>
      </c>
      <c r="L200" s="35">
        <v>338.93634041492317</v>
      </c>
    </row>
    <row r="201" spans="1:12">
      <c r="A201" s="35">
        <v>229.91486336127809</v>
      </c>
      <c r="B201" s="35">
        <v>247.43549913391581</v>
      </c>
      <c r="C201" s="35">
        <v>229.15332672993819</v>
      </c>
      <c r="D201" s="35">
        <v>227.5422401994947</v>
      </c>
      <c r="E201" s="35">
        <v>263.8696997498962</v>
      </c>
      <c r="F201" s="35">
        <v>217.59628757679138</v>
      </c>
      <c r="G201" s="35">
        <v>238.7228014829839</v>
      </c>
      <c r="H201" s="35">
        <v>242.2688835576991</v>
      </c>
      <c r="I201" s="35">
        <v>267.24773618558191</v>
      </c>
      <c r="J201" s="35">
        <v>282.74666134700522</v>
      </c>
      <c r="K201" s="35">
        <v>290.93231900635919</v>
      </c>
      <c r="L201" s="35">
        <v>339.35285467156177</v>
      </c>
    </row>
    <row r="202" spans="1:12">
      <c r="A202" s="35">
        <v>249.22320863972973</v>
      </c>
      <c r="B202" s="35">
        <v>283.72498082360988</v>
      </c>
      <c r="C202" s="35">
        <v>253.572317829187</v>
      </c>
      <c r="D202" s="35">
        <v>239.40113317071194</v>
      </c>
      <c r="E202" s="35">
        <v>290.1395344171782</v>
      </c>
      <c r="F202" s="35">
        <v>255.00259129801194</v>
      </c>
      <c r="G202" s="35">
        <v>267.02283021439075</v>
      </c>
      <c r="H202" s="35">
        <v>267.58664813182719</v>
      </c>
      <c r="I202" s="35">
        <v>287.21740411421433</v>
      </c>
      <c r="J202" s="35">
        <v>300.57229939516816</v>
      </c>
      <c r="K202" s="35">
        <v>323.37013859708941</v>
      </c>
      <c r="L202" s="35">
        <v>372.7105727044335</v>
      </c>
    </row>
    <row r="203" spans="1:12">
      <c r="A203" s="35">
        <v>238.49119218872096</v>
      </c>
      <c r="B203" s="35">
        <v>272.2420544996682</v>
      </c>
      <c r="C203" s="35">
        <v>243.70761826924624</v>
      </c>
      <c r="D203" s="35">
        <v>238.80108472399715</v>
      </c>
      <c r="E203" s="35">
        <v>277.74547540425755</v>
      </c>
      <c r="F203" s="35">
        <v>243.89849917884689</v>
      </c>
      <c r="G203" s="35">
        <v>273.16929764948117</v>
      </c>
      <c r="H203" s="35">
        <v>277.1091191298417</v>
      </c>
      <c r="I203" s="35">
        <v>300.12777817991042</v>
      </c>
      <c r="J203" s="35">
        <v>314.90338819383885</v>
      </c>
      <c r="K203" s="35">
        <v>340.96527445619415</v>
      </c>
      <c r="L203" s="35">
        <v>394.60664483046634</v>
      </c>
    </row>
    <row r="204" spans="1:12">
      <c r="A204" s="35">
        <v>275.18189294687659</v>
      </c>
      <c r="B204" s="35">
        <v>266.5966746727471</v>
      </c>
      <c r="C204" s="35">
        <v>255.16506626679043</v>
      </c>
      <c r="D204" s="35">
        <v>244.62479829653506</v>
      </c>
      <c r="E204" s="35">
        <v>284.94815924536493</v>
      </c>
      <c r="F204" s="35">
        <v>258.15616737161798</v>
      </c>
      <c r="G204" s="35">
        <v>266.35446004859847</v>
      </c>
      <c r="H204" s="35">
        <v>275.74384786030299</v>
      </c>
      <c r="I204" s="35">
        <v>293.48736972835428</v>
      </c>
      <c r="J204" s="35">
        <v>312.54827743381458</v>
      </c>
      <c r="K204" s="35">
        <v>340.7721342904938</v>
      </c>
      <c r="L204" s="35">
        <v>379.50349568611722</v>
      </c>
    </row>
    <row r="205" spans="1:12">
      <c r="A205" s="35">
        <v>251.21249391308965</v>
      </c>
      <c r="B205" s="35">
        <v>290.77926534233814</v>
      </c>
      <c r="C205" s="35">
        <v>257.08267533833737</v>
      </c>
      <c r="D205" s="35">
        <v>272.42609602659223</v>
      </c>
      <c r="E205" s="35">
        <v>308.72269100421198</v>
      </c>
      <c r="F205" s="35">
        <v>259.74695481753207</v>
      </c>
      <c r="G205" s="35">
        <v>276.41900943248248</v>
      </c>
      <c r="H205" s="35">
        <v>283.66101673655407</v>
      </c>
      <c r="I205" s="35">
        <v>318.24456784507197</v>
      </c>
      <c r="J205" s="35">
        <v>343.11031526039318</v>
      </c>
      <c r="K205" s="35">
        <v>354.21455379134181</v>
      </c>
      <c r="L205" s="35">
        <v>410.94556473185446</v>
      </c>
    </row>
    <row r="206" spans="1:12">
      <c r="A206" s="35">
        <v>259.02235513403929</v>
      </c>
      <c r="B206" s="35">
        <v>274.72140494706639</v>
      </c>
      <c r="C206" s="35">
        <v>244.06983472166237</v>
      </c>
      <c r="D206" s="35">
        <v>246.32474869272485</v>
      </c>
      <c r="E206" s="35">
        <v>293.27897622078257</v>
      </c>
      <c r="F206" s="35">
        <v>260.08570953416654</v>
      </c>
      <c r="G206" s="35">
        <v>249.69109654654218</v>
      </c>
      <c r="H206" s="35">
        <v>267.31652113116513</v>
      </c>
      <c r="I206" s="35">
        <v>307.32250412225113</v>
      </c>
      <c r="J206" s="35">
        <v>291.47946585297359</v>
      </c>
      <c r="K206" s="35">
        <v>319.11934188485947</v>
      </c>
      <c r="L206" s="35">
        <v>364.87892954202897</v>
      </c>
    </row>
    <row r="207" spans="1:12">
      <c r="A207" s="35">
        <v>254.43695884221592</v>
      </c>
      <c r="B207" s="35">
        <v>278.28755858206074</v>
      </c>
      <c r="C207" s="35">
        <v>244.23653715754145</v>
      </c>
      <c r="D207" s="35">
        <v>257.6522396654031</v>
      </c>
      <c r="E207" s="35">
        <v>303.50110658067132</v>
      </c>
      <c r="F207" s="35">
        <v>273.3326913894989</v>
      </c>
      <c r="G207" s="35">
        <v>261.36564800338937</v>
      </c>
      <c r="H207" s="35">
        <v>283.14170613743823</v>
      </c>
      <c r="I207" s="35">
        <v>304.63111902639628</v>
      </c>
      <c r="J207" s="35">
        <v>297.43757988662128</v>
      </c>
      <c r="K207" s="35">
        <v>331.34555347615662</v>
      </c>
      <c r="L207" s="35">
        <v>394.27294453819599</v>
      </c>
    </row>
    <row r="208" spans="1:12">
      <c r="A208" s="35">
        <v>239.16935245599237</v>
      </c>
      <c r="B208" s="35">
        <v>254.3007696371082</v>
      </c>
      <c r="C208" s="35">
        <v>247.67394770328775</v>
      </c>
      <c r="D208" s="35">
        <v>220.18646061571914</v>
      </c>
      <c r="E208" s="35">
        <v>271.73481990738117</v>
      </c>
      <c r="F208" s="35">
        <v>256.85535822698307</v>
      </c>
      <c r="G208" s="35">
        <v>269.71849689202827</v>
      </c>
      <c r="H208" s="35">
        <v>256.5096302587998</v>
      </c>
      <c r="I208" s="35">
        <v>305.55516846849406</v>
      </c>
      <c r="J208" s="35">
        <v>296.96585689637118</v>
      </c>
      <c r="K208" s="35">
        <v>316.15732252661684</v>
      </c>
      <c r="L208" s="35">
        <v>361.14097851237551</v>
      </c>
    </row>
    <row r="209" spans="1:12">
      <c r="A209" s="35">
        <v>241.59102340639399</v>
      </c>
      <c r="B209" s="35">
        <v>274.18649803556758</v>
      </c>
      <c r="C209" s="35">
        <v>256.41324414784077</v>
      </c>
      <c r="D209" s="35">
        <v>253.58819802451785</v>
      </c>
      <c r="E209" s="35">
        <v>281.65352844634606</v>
      </c>
      <c r="F209" s="35">
        <v>271.20972382230309</v>
      </c>
      <c r="G209" s="35">
        <v>256.81572423796342</v>
      </c>
      <c r="H209" s="35">
        <v>257.21364789640671</v>
      </c>
      <c r="I209" s="35">
        <v>300.83976967788459</v>
      </c>
      <c r="J209" s="35">
        <v>297.09549264832822</v>
      </c>
      <c r="K209" s="35">
        <v>324.21954487475375</v>
      </c>
      <c r="L209" s="35">
        <v>374.40799179028295</v>
      </c>
    </row>
    <row r="210" spans="1:12">
      <c r="A210" s="35">
        <v>260.90104451204951</v>
      </c>
      <c r="B210" s="35">
        <v>268.82789973774322</v>
      </c>
      <c r="C210" s="35">
        <v>246.62702327263236</v>
      </c>
      <c r="D210" s="35">
        <v>249.79630233441162</v>
      </c>
      <c r="E210" s="35">
        <v>304.40348930055092</v>
      </c>
      <c r="F210" s="35">
        <v>247.90209102565078</v>
      </c>
      <c r="G210" s="35">
        <v>268.69685751879911</v>
      </c>
      <c r="H210" s="35">
        <v>298.39909585891792</v>
      </c>
      <c r="I210" s="35">
        <v>306.1726898734305</v>
      </c>
      <c r="J210" s="35">
        <v>323.50421785802899</v>
      </c>
      <c r="K210" s="35">
        <v>331.77676340886643</v>
      </c>
      <c r="L210" s="35">
        <v>399.29300645993982</v>
      </c>
    </row>
    <row r="211" spans="1:12">
      <c r="A211" s="35">
        <v>240.79827091931986</v>
      </c>
      <c r="B211" s="35">
        <v>252.92425236788415</v>
      </c>
      <c r="C211" s="35">
        <v>244.60544355577517</v>
      </c>
      <c r="D211" s="35">
        <v>225.74551953668896</v>
      </c>
      <c r="E211" s="35">
        <v>286.08507368909505</v>
      </c>
      <c r="F211" s="35">
        <v>249.43667047651343</v>
      </c>
      <c r="G211" s="35">
        <v>261.12455387762378</v>
      </c>
      <c r="H211" s="35">
        <v>261.17229394944508</v>
      </c>
      <c r="I211" s="35">
        <v>279.5174214162933</v>
      </c>
      <c r="J211" s="35">
        <v>297.50506883156481</v>
      </c>
      <c r="K211" s="35">
        <v>340.14783858501261</v>
      </c>
      <c r="L211" s="35">
        <v>383.03878765990851</v>
      </c>
    </row>
    <row r="212" spans="1:12">
      <c r="A212" s="35">
        <v>254.70563631974767</v>
      </c>
      <c r="B212" s="35">
        <v>259.14215242670389</v>
      </c>
      <c r="C212" s="35">
        <v>240.52143957800328</v>
      </c>
      <c r="D212" s="35">
        <v>226.40662140102256</v>
      </c>
      <c r="E212" s="35">
        <v>285.19938806875837</v>
      </c>
      <c r="F212" s="35">
        <v>248.66326916483561</v>
      </c>
      <c r="G212" s="35">
        <v>255.76819225494518</v>
      </c>
      <c r="H212" s="35">
        <v>265.55634119737641</v>
      </c>
      <c r="I212" s="35">
        <v>298.88122777841204</v>
      </c>
      <c r="J212" s="35">
        <v>305.13979191454564</v>
      </c>
      <c r="K212" s="35">
        <v>303.1221529147615</v>
      </c>
      <c r="L212" s="35">
        <v>376.74425225105023</v>
      </c>
    </row>
    <row r="213" spans="1:12">
      <c r="A213" s="35">
        <v>259.87124871919212</v>
      </c>
      <c r="B213" s="35">
        <v>261.53912881495046</v>
      </c>
      <c r="C213" s="35">
        <v>233.27684317535355</v>
      </c>
      <c r="D213" s="35">
        <v>224.09456837340377</v>
      </c>
      <c r="E213" s="35">
        <v>275.78438310886145</v>
      </c>
      <c r="F213" s="35">
        <v>251.61205534702586</v>
      </c>
      <c r="G213" s="35">
        <v>242.74826315347636</v>
      </c>
      <c r="H213" s="35">
        <v>246.79136701268183</v>
      </c>
      <c r="I213" s="35">
        <v>283.17113650291378</v>
      </c>
      <c r="J213" s="35">
        <v>315.64074590097528</v>
      </c>
      <c r="K213" s="35">
        <v>307.60866020058472</v>
      </c>
      <c r="L213" s="35">
        <v>382.57977354945797</v>
      </c>
    </row>
    <row r="214" spans="1:12">
      <c r="A214" s="35">
        <v>250.44786439616297</v>
      </c>
      <c r="B214" s="35">
        <v>265.66629863343309</v>
      </c>
      <c r="C214" s="35">
        <v>254.89677820240001</v>
      </c>
      <c r="D214" s="35">
        <v>235.21899763247444</v>
      </c>
      <c r="E214" s="35">
        <v>280.54681473438791</v>
      </c>
      <c r="F214" s="35">
        <v>265.76377290852878</v>
      </c>
      <c r="G214" s="35">
        <v>260.92732859999484</v>
      </c>
      <c r="H214" s="35">
        <v>283.92669647263989</v>
      </c>
      <c r="I214" s="35">
        <v>303.2713821579801</v>
      </c>
      <c r="J214" s="35">
        <v>300.80103194624667</v>
      </c>
      <c r="K214" s="35">
        <v>336.8000972954066</v>
      </c>
      <c r="L214" s="35">
        <v>395.88545354295746</v>
      </c>
    </row>
    <row r="215" spans="1:12">
      <c r="A215" s="35">
        <v>244.57294552991883</v>
      </c>
      <c r="B215" s="35">
        <v>248.62175906588746</v>
      </c>
      <c r="C215" s="35">
        <v>237.08091198937043</v>
      </c>
      <c r="D215" s="35">
        <v>215.38451233015428</v>
      </c>
      <c r="E215" s="35">
        <v>258.544902917353</v>
      </c>
      <c r="F215" s="35">
        <v>229.64017161021175</v>
      </c>
      <c r="G215" s="35">
        <v>238.66765708482401</v>
      </c>
      <c r="H215" s="35">
        <v>243.77372569617185</v>
      </c>
      <c r="I215" s="35">
        <v>272.52687994059409</v>
      </c>
      <c r="J215" s="35">
        <v>258.3486426732261</v>
      </c>
      <c r="K215" s="35">
        <v>302.04532537461284</v>
      </c>
      <c r="L215" s="35">
        <v>331.86456532310945</v>
      </c>
    </row>
    <row r="216" spans="1:12">
      <c r="A216" s="35">
        <v>239.8395444365656</v>
      </c>
      <c r="B216" s="35">
        <v>259.18243515538569</v>
      </c>
      <c r="C216" s="35">
        <v>239.54596303707842</v>
      </c>
      <c r="D216" s="35">
        <v>241.09742241233604</v>
      </c>
      <c r="E216" s="35">
        <v>268.72219964811779</v>
      </c>
      <c r="F216" s="35">
        <v>237.55915598130159</v>
      </c>
      <c r="G216" s="35">
        <v>240.49477179677558</v>
      </c>
      <c r="H216" s="35">
        <v>267.27053041539091</v>
      </c>
      <c r="I216" s="35">
        <v>290.10039261554567</v>
      </c>
      <c r="J216" s="35">
        <v>283.27041980751585</v>
      </c>
      <c r="K216" s="35">
        <v>314.58459022222598</v>
      </c>
      <c r="L216" s="35">
        <v>363.32252733934246</v>
      </c>
    </row>
    <row r="217" spans="1:12">
      <c r="A217" s="35">
        <v>240.5406354709578</v>
      </c>
      <c r="B217" s="35">
        <v>265.58550409250199</v>
      </c>
      <c r="C217" s="35">
        <v>237.02790194897412</v>
      </c>
      <c r="D217" s="35">
        <v>240.68669463530367</v>
      </c>
      <c r="E217" s="35">
        <v>286.27812354095749</v>
      </c>
      <c r="F217" s="35">
        <v>235.85374322948837</v>
      </c>
      <c r="G217" s="35">
        <v>269.21074610110395</v>
      </c>
      <c r="H217" s="35">
        <v>260.19651323110469</v>
      </c>
      <c r="I217" s="35">
        <v>300.82004434485793</v>
      </c>
      <c r="J217" s="35">
        <v>297.10233948645839</v>
      </c>
      <c r="K217" s="35">
        <v>311.60651152936856</v>
      </c>
      <c r="L217" s="35">
        <v>368.6920338350368</v>
      </c>
    </row>
    <row r="218" spans="1:12">
      <c r="A218" s="35">
        <v>252.22243314443273</v>
      </c>
      <c r="B218" s="35">
        <v>261.22399154975972</v>
      </c>
      <c r="C218" s="35">
        <v>237.13229610349057</v>
      </c>
      <c r="D218" s="35">
        <v>254.67013835552601</v>
      </c>
      <c r="E218" s="35">
        <v>289.6741619267907</v>
      </c>
      <c r="F218" s="35">
        <v>246.52270445846807</v>
      </c>
      <c r="G218" s="35">
        <v>271.66943104170076</v>
      </c>
      <c r="H218" s="35">
        <v>282.19367546036631</v>
      </c>
      <c r="I218" s="35">
        <v>316.30796015678118</v>
      </c>
      <c r="J218" s="35">
        <v>329.56714488112681</v>
      </c>
      <c r="K218" s="35">
        <v>344.3059606646035</v>
      </c>
      <c r="L218" s="35">
        <v>401.8084464247197</v>
      </c>
    </row>
    <row r="219" spans="1:12">
      <c r="A219" s="35">
        <v>243.74920066231127</v>
      </c>
      <c r="B219" s="35">
        <v>257.28498434785678</v>
      </c>
      <c r="C219" s="35">
        <v>224.82479943840585</v>
      </c>
      <c r="D219" s="35">
        <v>224.22293352875994</v>
      </c>
      <c r="E219" s="35">
        <v>261.11642270963495</v>
      </c>
      <c r="F219" s="35">
        <v>229.6063101522187</v>
      </c>
      <c r="G219" s="35">
        <v>233.05008373610602</v>
      </c>
      <c r="H219" s="35">
        <v>249.54195714832298</v>
      </c>
      <c r="I219" s="35">
        <v>263.27129645024161</v>
      </c>
      <c r="J219" s="35">
        <v>267.71758078421743</v>
      </c>
      <c r="K219" s="35">
        <v>272.76239150552328</v>
      </c>
      <c r="L219" s="35">
        <v>307.82580239831782</v>
      </c>
    </row>
    <row r="220" spans="1:12">
      <c r="A220" s="35">
        <v>259.04026265934721</v>
      </c>
      <c r="B220" s="35">
        <v>258.73575160981812</v>
      </c>
      <c r="C220" s="35">
        <v>243.89805940273033</v>
      </c>
      <c r="D220" s="35">
        <v>238.62871022179058</v>
      </c>
      <c r="E220" s="35">
        <v>277.36812261096793</v>
      </c>
      <c r="F220" s="35">
        <v>247.41979259466166</v>
      </c>
      <c r="G220" s="35">
        <v>248.05119838551829</v>
      </c>
      <c r="H220" s="35">
        <v>251.05895946399698</v>
      </c>
      <c r="I220" s="35">
        <v>255.80071511363025</v>
      </c>
      <c r="J220" s="35">
        <v>279.21189499003913</v>
      </c>
      <c r="K220" s="35">
        <v>285.69032265895464</v>
      </c>
      <c r="L220" s="35">
        <v>332.92535307160318</v>
      </c>
    </row>
    <row r="221" spans="1:12">
      <c r="A221" s="35">
        <v>238.93814150414855</v>
      </c>
      <c r="B221" s="35">
        <v>264.01719697159615</v>
      </c>
      <c r="C221" s="35">
        <v>247.1331396858846</v>
      </c>
      <c r="D221" s="35">
        <v>237.30241486971667</v>
      </c>
      <c r="E221" s="35">
        <v>284.54643192827621</v>
      </c>
      <c r="F221" s="35">
        <v>259.75112303885641</v>
      </c>
      <c r="G221" s="35">
        <v>259.31779862720646</v>
      </c>
      <c r="H221" s="35">
        <v>267.24362284884347</v>
      </c>
      <c r="I221" s="35">
        <v>285.91470333902618</v>
      </c>
      <c r="J221" s="35">
        <v>309.74408410699635</v>
      </c>
      <c r="K221" s="35">
        <v>309.80394890103389</v>
      </c>
      <c r="L221" s="35">
        <v>370.52630479394804</v>
      </c>
    </row>
    <row r="222" spans="1:12">
      <c r="A222" s="35">
        <v>233.17133393017909</v>
      </c>
      <c r="B222" s="35">
        <v>269.74500752800492</v>
      </c>
      <c r="C222" s="35">
        <v>234.59522190709174</v>
      </c>
      <c r="D222" s="35">
        <v>251.00868021401513</v>
      </c>
      <c r="E222" s="35">
        <v>325.89101680671718</v>
      </c>
      <c r="F222" s="35">
        <v>267.68257390295599</v>
      </c>
      <c r="G222" s="35">
        <v>288.45303916344795</v>
      </c>
      <c r="H222" s="35">
        <v>295.26553409053355</v>
      </c>
      <c r="I222" s="35">
        <v>316.43147480675378</v>
      </c>
      <c r="J222" s="35">
        <v>346.35743731824442</v>
      </c>
      <c r="K222" s="35">
        <v>369.13619888141699</v>
      </c>
      <c r="L222" s="35">
        <v>456.15361161585929</v>
      </c>
    </row>
    <row r="223" spans="1:12">
      <c r="A223" s="35">
        <v>249.62536441268131</v>
      </c>
      <c r="B223" s="35">
        <v>264.39499455454899</v>
      </c>
      <c r="C223" s="35">
        <v>242.03001767385143</v>
      </c>
      <c r="D223" s="35">
        <v>239.34340564252662</v>
      </c>
      <c r="E223" s="35">
        <v>262.46110598543231</v>
      </c>
      <c r="F223" s="35">
        <v>239.63721303155938</v>
      </c>
      <c r="G223" s="35">
        <v>258.18769006625297</v>
      </c>
      <c r="H223" s="35">
        <v>240.63034109254841</v>
      </c>
      <c r="I223" s="35">
        <v>248.73501474513486</v>
      </c>
      <c r="J223" s="35">
        <v>279.00049967873326</v>
      </c>
      <c r="K223" s="35">
        <v>297.37964030408875</v>
      </c>
      <c r="L223" s="35">
        <v>348.84389375300589</v>
      </c>
    </row>
    <row r="224" spans="1:12">
      <c r="A224" s="35">
        <v>246.15809735343564</v>
      </c>
      <c r="B224" s="35">
        <v>262.17000458972416</v>
      </c>
      <c r="C224" s="35">
        <v>235.54333374585181</v>
      </c>
      <c r="D224" s="35">
        <v>232.79103410617853</v>
      </c>
      <c r="E224" s="35">
        <v>262.01707186807812</v>
      </c>
      <c r="F224" s="35">
        <v>228.17466434703681</v>
      </c>
      <c r="G224" s="35">
        <v>256.94340147009285</v>
      </c>
      <c r="H224" s="35">
        <v>253.66887371718673</v>
      </c>
      <c r="I224" s="35">
        <v>288.53528906177098</v>
      </c>
      <c r="J224" s="35">
        <v>300.76877289896288</v>
      </c>
      <c r="K224" s="35">
        <v>299.23518326114407</v>
      </c>
      <c r="L224" s="35">
        <v>337.70521945866477</v>
      </c>
    </row>
    <row r="225" spans="1:12">
      <c r="A225" s="35">
        <v>245.51493159063679</v>
      </c>
      <c r="B225" s="35">
        <v>247.02871564820302</v>
      </c>
      <c r="C225" s="35">
        <v>234.587804912808</v>
      </c>
      <c r="D225" s="35">
        <v>249.15406466309616</v>
      </c>
      <c r="E225" s="35">
        <v>304.00252947787141</v>
      </c>
      <c r="F225" s="35">
        <v>245.91256483278505</v>
      </c>
      <c r="G225" s="35">
        <v>260.9087383540425</v>
      </c>
      <c r="H225" s="35">
        <v>256.33517283299801</v>
      </c>
      <c r="I225" s="35">
        <v>275.65930502291258</v>
      </c>
      <c r="J225" s="35">
        <v>300.91166508142663</v>
      </c>
      <c r="K225" s="35">
        <v>312.86458371050685</v>
      </c>
      <c r="L225" s="35">
        <v>372.1105290186286</v>
      </c>
    </row>
    <row r="226" spans="1:12">
      <c r="A226" s="35">
        <v>231.83145376388549</v>
      </c>
      <c r="B226" s="35">
        <v>269.62847229931032</v>
      </c>
      <c r="C226" s="35">
        <v>241.88334405139764</v>
      </c>
      <c r="D226" s="35">
        <v>219.61281764452855</v>
      </c>
      <c r="E226" s="35">
        <v>270.13814910570483</v>
      </c>
      <c r="F226" s="35">
        <v>235.89281755435792</v>
      </c>
      <c r="G226" s="35">
        <v>248.88789459953779</v>
      </c>
      <c r="H226" s="35">
        <v>244.62656961342137</v>
      </c>
      <c r="I226" s="35">
        <v>272.18053559873135</v>
      </c>
      <c r="J226" s="35">
        <v>281.12291499266223</v>
      </c>
      <c r="K226" s="35">
        <v>279.91291159304097</v>
      </c>
      <c r="L226" s="35">
        <v>351.4614629552492</v>
      </c>
    </row>
    <row r="227" spans="1:12">
      <c r="A227" s="35">
        <v>253.52281979561442</v>
      </c>
      <c r="B227" s="35">
        <v>270.54518533862887</v>
      </c>
      <c r="C227" s="35">
        <v>251.85883472967123</v>
      </c>
      <c r="D227" s="35">
        <v>246.75701661512161</v>
      </c>
      <c r="E227" s="35">
        <v>302.87739986802063</v>
      </c>
      <c r="F227" s="35">
        <v>254.86422508776326</v>
      </c>
      <c r="G227" s="35">
        <v>279.6750379172272</v>
      </c>
      <c r="H227" s="35">
        <v>267.97625526730587</v>
      </c>
      <c r="I227" s="35">
        <v>292.80772531685614</v>
      </c>
      <c r="J227" s="35">
        <v>333.00338251338286</v>
      </c>
      <c r="K227" s="35">
        <v>343.80316995065812</v>
      </c>
      <c r="L227" s="35">
        <v>405.19391284160878</v>
      </c>
    </row>
    <row r="228" spans="1:12">
      <c r="A228" s="35">
        <v>236.88872475030314</v>
      </c>
      <c r="B228" s="35">
        <v>268.92685205092533</v>
      </c>
      <c r="C228" s="35">
        <v>250.25406676145721</v>
      </c>
      <c r="D228" s="35">
        <v>232.26889196855007</v>
      </c>
      <c r="E228" s="35">
        <v>276.70751881443618</v>
      </c>
      <c r="F228" s="35">
        <v>220.53201869358634</v>
      </c>
      <c r="G228" s="35">
        <v>261.91830866606642</v>
      </c>
      <c r="H228" s="35">
        <v>256.0475460309375</v>
      </c>
      <c r="I228" s="35">
        <v>283.14573227529775</v>
      </c>
      <c r="J228" s="35">
        <v>271.60009575565368</v>
      </c>
      <c r="K228" s="35">
        <v>305.96247807413329</v>
      </c>
      <c r="L228" s="35">
        <v>349.2919110076819</v>
      </c>
    </row>
    <row r="229" spans="1:12">
      <c r="A229" s="35">
        <v>244.39817474990735</v>
      </c>
      <c r="B229" s="35">
        <v>270.1892387827121</v>
      </c>
      <c r="C229" s="35">
        <v>244.91653603257328</v>
      </c>
      <c r="D229" s="35">
        <v>212.57948249372413</v>
      </c>
      <c r="E229" s="35">
        <v>296.61930853838993</v>
      </c>
      <c r="F229" s="35">
        <v>242.5398508592379</v>
      </c>
      <c r="G229" s="35">
        <v>255.62562831857704</v>
      </c>
      <c r="H229" s="35">
        <v>255.699149689688</v>
      </c>
      <c r="I229" s="35">
        <v>282.19798839696404</v>
      </c>
      <c r="J229" s="35">
        <v>286.0040808394229</v>
      </c>
      <c r="K229" s="35">
        <v>311.21344639499995</v>
      </c>
      <c r="L229" s="35">
        <v>339.85538854723245</v>
      </c>
    </row>
    <row r="230" spans="1:12">
      <c r="A230" s="35">
        <v>244.38243611101186</v>
      </c>
      <c r="B230" s="35">
        <v>259.52411810003684</v>
      </c>
      <c r="C230" s="35">
        <v>241.87265505974747</v>
      </c>
      <c r="D230" s="35">
        <v>244.55873215707106</v>
      </c>
      <c r="E230" s="35">
        <v>292.77524529357657</v>
      </c>
      <c r="F230" s="35">
        <v>246.37733838743821</v>
      </c>
      <c r="G230" s="35">
        <v>272.79598637680584</v>
      </c>
      <c r="H230" s="35">
        <v>258.68047719031944</v>
      </c>
      <c r="I230" s="35">
        <v>296.20222216832525</v>
      </c>
      <c r="J230" s="35">
        <v>310.29393992382012</v>
      </c>
      <c r="K230" s="35">
        <v>326.52053219324296</v>
      </c>
      <c r="L230" s="35">
        <v>369.67365003304792</v>
      </c>
    </row>
    <row r="231" spans="1:12">
      <c r="A231" s="35">
        <v>247.86305396615074</v>
      </c>
      <c r="B231" s="35">
        <v>269.69988417203967</v>
      </c>
      <c r="C231" s="35">
        <v>237.68155624860256</v>
      </c>
      <c r="D231" s="35">
        <v>233.82384917402732</v>
      </c>
      <c r="E231" s="35">
        <v>284.59831926880241</v>
      </c>
      <c r="F231" s="35">
        <v>247.98149029314214</v>
      </c>
      <c r="G231" s="35">
        <v>256.05621635876832</v>
      </c>
      <c r="H231" s="35">
        <v>244.45791480794418</v>
      </c>
      <c r="I231" s="35">
        <v>269.85851704388006</v>
      </c>
      <c r="J231" s="35">
        <v>279.68588868356477</v>
      </c>
      <c r="K231" s="35">
        <v>291.06754733871043</v>
      </c>
      <c r="L231" s="35">
        <v>355.22425012632834</v>
      </c>
    </row>
    <row r="232" spans="1:12">
      <c r="A232" s="35">
        <v>260.68419000840811</v>
      </c>
      <c r="B232" s="35">
        <v>286.34810995081682</v>
      </c>
      <c r="C232" s="35">
        <v>238.69441233729242</v>
      </c>
      <c r="D232" s="35">
        <v>257.86732590107971</v>
      </c>
      <c r="E232" s="35">
        <v>302.44015986279118</v>
      </c>
      <c r="F232" s="35">
        <v>251.54233935456458</v>
      </c>
      <c r="G232" s="35">
        <v>273.18201416344613</v>
      </c>
      <c r="H232" s="35">
        <v>287.13597112162671</v>
      </c>
      <c r="I232" s="35">
        <v>310.69594711695748</v>
      </c>
      <c r="J232" s="35">
        <v>319.43305425239299</v>
      </c>
      <c r="K232" s="35">
        <v>337.64121895578478</v>
      </c>
      <c r="L232" s="35">
        <v>399.08462431329519</v>
      </c>
    </row>
    <row r="233" spans="1:12">
      <c r="A233" s="35">
        <v>245.4291661099349</v>
      </c>
      <c r="B233" s="35">
        <v>259.34915203899737</v>
      </c>
      <c r="C233" s="35">
        <v>254.33102639746602</v>
      </c>
      <c r="D233" s="35">
        <v>242.78516454132873</v>
      </c>
      <c r="E233" s="35">
        <v>284.3719238137773</v>
      </c>
      <c r="F233" s="35">
        <v>268.45638973971063</v>
      </c>
      <c r="G233" s="35">
        <v>266.77865250883957</v>
      </c>
      <c r="H233" s="35">
        <v>283.99342709563257</v>
      </c>
      <c r="I233" s="35">
        <v>304.30655327537659</v>
      </c>
      <c r="J233" s="35">
        <v>306.76065666437489</v>
      </c>
      <c r="K233" s="35">
        <v>335.88255254255068</v>
      </c>
      <c r="L233" s="35">
        <v>380.13054028804862</v>
      </c>
    </row>
    <row r="234" spans="1:12">
      <c r="A234" s="35">
        <v>261.02901500353187</v>
      </c>
      <c r="B234" s="35">
        <v>277.99831818812538</v>
      </c>
      <c r="C234" s="35">
        <v>253.9995801474011</v>
      </c>
      <c r="D234" s="35">
        <v>271.82884613751463</v>
      </c>
      <c r="E234" s="35">
        <v>279.0127383947106</v>
      </c>
      <c r="F234" s="35">
        <v>276.72005055342908</v>
      </c>
      <c r="G234" s="35">
        <v>281.09887611752828</v>
      </c>
      <c r="H234" s="35">
        <v>300.77435583448084</v>
      </c>
      <c r="I234" s="35">
        <v>329.7329476518284</v>
      </c>
      <c r="J234" s="35">
        <v>336.48376013821843</v>
      </c>
      <c r="K234" s="35">
        <v>355.37852299506409</v>
      </c>
      <c r="L234" s="35">
        <v>416.68635777966898</v>
      </c>
    </row>
    <row r="235" spans="1:12">
      <c r="A235" s="35">
        <v>247.55386509574348</v>
      </c>
      <c r="B235" s="35">
        <v>265.53446555768159</v>
      </c>
      <c r="C235" s="35">
        <v>229.35063419719262</v>
      </c>
      <c r="D235" s="35">
        <v>226.95991515933108</v>
      </c>
      <c r="E235" s="35">
        <v>267.38623823010306</v>
      </c>
      <c r="F235" s="35">
        <v>239.62413909303021</v>
      </c>
      <c r="G235" s="35">
        <v>256.81967160380344</v>
      </c>
      <c r="H235" s="35">
        <v>270.26967488066526</v>
      </c>
      <c r="I235" s="35">
        <v>276.45269146104113</v>
      </c>
      <c r="J235" s="35">
        <v>297.03287714184404</v>
      </c>
      <c r="K235" s="35">
        <v>312.93453025340887</v>
      </c>
      <c r="L235" s="35">
        <v>368.96893311987048</v>
      </c>
    </row>
    <row r="236" spans="1:12">
      <c r="A236" s="35">
        <v>241.67989967736108</v>
      </c>
      <c r="B236" s="35">
        <v>258.32620578598426</v>
      </c>
      <c r="C236" s="35">
        <v>232.16023194048765</v>
      </c>
      <c r="D236" s="35">
        <v>224.73905591127172</v>
      </c>
      <c r="E236" s="35">
        <v>273.88430512766922</v>
      </c>
      <c r="F236" s="35">
        <v>249.49023556173938</v>
      </c>
      <c r="G236" s="35">
        <v>234.0602124425416</v>
      </c>
      <c r="H236" s="35">
        <v>243.52117681601041</v>
      </c>
      <c r="I236" s="35">
        <v>280.62152345600032</v>
      </c>
      <c r="J236" s="35">
        <v>286.53067701750541</v>
      </c>
      <c r="K236" s="35">
        <v>284.46320292450679</v>
      </c>
      <c r="L236" s="35">
        <v>338.72122809192399</v>
      </c>
    </row>
    <row r="237" spans="1:12">
      <c r="A237" s="35">
        <v>240.47822352111248</v>
      </c>
      <c r="B237" s="35">
        <v>245.50215038258079</v>
      </c>
      <c r="C237" s="35">
        <v>225.77667030948416</v>
      </c>
      <c r="D237" s="35">
        <v>220.70627936155964</v>
      </c>
      <c r="E237" s="35">
        <v>262.54329679309956</v>
      </c>
      <c r="F237" s="35">
        <v>215.35538238294268</v>
      </c>
      <c r="G237" s="35">
        <v>226.58959284775534</v>
      </c>
      <c r="H237" s="35">
        <v>220.31943603241456</v>
      </c>
      <c r="I237" s="35">
        <v>220.07732105210738</v>
      </c>
      <c r="J237" s="35">
        <v>214.9289817877812</v>
      </c>
      <c r="K237" s="35">
        <v>241.55744626492719</v>
      </c>
      <c r="L237" s="35">
        <v>268.14705738901222</v>
      </c>
    </row>
    <row r="238" spans="1:12">
      <c r="A238" s="35">
        <v>249.07378843225257</v>
      </c>
      <c r="B238" s="35">
        <v>264.59923346621287</v>
      </c>
      <c r="C238" s="35">
        <v>249.13208923417042</v>
      </c>
      <c r="D238" s="35">
        <v>231.26594996598672</v>
      </c>
      <c r="E238" s="35">
        <v>283.28889932956019</v>
      </c>
      <c r="F238" s="35">
        <v>258.75619877516431</v>
      </c>
      <c r="G238" s="35">
        <v>243.43248776969446</v>
      </c>
      <c r="H238" s="35">
        <v>261.90040426028708</v>
      </c>
      <c r="I238" s="35">
        <v>273.74831486350018</v>
      </c>
      <c r="J238" s="35">
        <v>305.26958282686223</v>
      </c>
      <c r="K238" s="35">
        <v>311.66638700024095</v>
      </c>
      <c r="L238" s="35">
        <v>374.99572730268488</v>
      </c>
    </row>
    <row r="239" spans="1:12">
      <c r="A239" s="35">
        <v>228.76915164708839</v>
      </c>
      <c r="B239" s="35">
        <v>225.70758309212653</v>
      </c>
      <c r="C239" s="35">
        <v>229.85979936447106</v>
      </c>
      <c r="D239" s="35">
        <v>227.26046329269241</v>
      </c>
      <c r="E239" s="35">
        <v>257.46412835998342</v>
      </c>
      <c r="F239" s="35">
        <v>223.86928412421486</v>
      </c>
      <c r="G239" s="35">
        <v>245.27081666132736</v>
      </c>
      <c r="H239" s="35">
        <v>237.53799141499161</v>
      </c>
      <c r="I239" s="35">
        <v>259.02967372873286</v>
      </c>
      <c r="J239" s="35">
        <v>281.39770780643113</v>
      </c>
      <c r="K239" s="35">
        <v>280.96434502809677</v>
      </c>
      <c r="L239" s="35">
        <v>327.33933515286623</v>
      </c>
    </row>
    <row r="240" spans="1:12">
      <c r="A240" s="35">
        <v>259.15200930725564</v>
      </c>
      <c r="B240" s="35">
        <v>263.43983013391238</v>
      </c>
      <c r="C240" s="35">
        <v>232.99379513468838</v>
      </c>
      <c r="D240" s="35">
        <v>241.42030258114082</v>
      </c>
      <c r="E240" s="35">
        <v>279.28424906590504</v>
      </c>
      <c r="F240" s="35">
        <v>247.40943732095596</v>
      </c>
      <c r="G240" s="35">
        <v>263.66065723031886</v>
      </c>
      <c r="H240" s="35">
        <v>277.98238233397615</v>
      </c>
      <c r="I240" s="35">
        <v>322.44225312517068</v>
      </c>
      <c r="J240" s="35">
        <v>298.1809959427693</v>
      </c>
      <c r="K240" s="35">
        <v>292.05090671059787</v>
      </c>
      <c r="L240" s="35">
        <v>375.74421536598226</v>
      </c>
    </row>
    <row r="241" spans="1:12">
      <c r="A241" s="35">
        <v>237.67216254940823</v>
      </c>
      <c r="B241" s="35">
        <v>269.18570625627262</v>
      </c>
      <c r="C241" s="35">
        <v>235.5988057151101</v>
      </c>
      <c r="D241" s="35">
        <v>245.10902554900113</v>
      </c>
      <c r="E241" s="35">
        <v>267.54292965699113</v>
      </c>
      <c r="F241" s="35">
        <v>244.51795909091385</v>
      </c>
      <c r="G241" s="35">
        <v>237.61171632229477</v>
      </c>
      <c r="H241" s="35">
        <v>253.27267293775569</v>
      </c>
      <c r="I241" s="35">
        <v>263.34496941102276</v>
      </c>
      <c r="J241" s="35">
        <v>277.90213391273784</v>
      </c>
      <c r="K241" s="35">
        <v>278.40010711125234</v>
      </c>
      <c r="L241" s="35">
        <v>323.23892809938388</v>
      </c>
    </row>
    <row r="242" spans="1:12">
      <c r="A242" s="35">
        <v>238.89754968638755</v>
      </c>
      <c r="B242" s="35">
        <v>263.24424786778872</v>
      </c>
      <c r="C242" s="35">
        <v>232.88383756385522</v>
      </c>
      <c r="D242" s="35">
        <v>246.84497645545892</v>
      </c>
      <c r="E242" s="35">
        <v>288.37666970193408</v>
      </c>
      <c r="F242" s="35">
        <v>256.24883158776839</v>
      </c>
      <c r="G242" s="35">
        <v>266.89562295536422</v>
      </c>
      <c r="H242" s="35">
        <v>276.09511251579551</v>
      </c>
      <c r="I242" s="35">
        <v>288.18537165355957</v>
      </c>
      <c r="J242" s="35">
        <v>314.78804853535064</v>
      </c>
      <c r="K242" s="35">
        <v>325.00875763929264</v>
      </c>
      <c r="L242" s="35">
        <v>393.23411611434551</v>
      </c>
    </row>
    <row r="243" spans="1:12">
      <c r="A243" s="35">
        <v>248.57769112091881</v>
      </c>
      <c r="B243" s="35">
        <v>253.52158626592197</v>
      </c>
      <c r="C243" s="35">
        <v>241.01980966900436</v>
      </c>
      <c r="D243" s="35">
        <v>223.02390296802736</v>
      </c>
      <c r="E243" s="35">
        <v>268.81377421472087</v>
      </c>
      <c r="F243" s="35">
        <v>245.33461842808768</v>
      </c>
      <c r="G243" s="35">
        <v>264.07862043502075</v>
      </c>
      <c r="H243" s="35">
        <v>271.1768687623686</v>
      </c>
      <c r="I243" s="35">
        <v>288.08518160161162</v>
      </c>
      <c r="J243" s="35">
        <v>309.98319560419429</v>
      </c>
      <c r="K243" s="35">
        <v>342.20697347701497</v>
      </c>
      <c r="L243" s="35">
        <v>375.81380002130976</v>
      </c>
    </row>
    <row r="244" spans="1:12">
      <c r="A244" s="35">
        <v>241.92433885170576</v>
      </c>
      <c r="B244" s="35">
        <v>290.01263037845064</v>
      </c>
      <c r="C244" s="35">
        <v>263.65131478610147</v>
      </c>
      <c r="D244" s="35">
        <v>237.58057159954603</v>
      </c>
      <c r="E244" s="35">
        <v>311.77421167672776</v>
      </c>
      <c r="F244" s="35">
        <v>283.71453153028057</v>
      </c>
      <c r="G244" s="35">
        <v>289.9071892469708</v>
      </c>
      <c r="H244" s="35">
        <v>286.4185340613476</v>
      </c>
      <c r="I244" s="35">
        <v>317.1691356011425</v>
      </c>
      <c r="J244" s="35">
        <v>338.96339157653898</v>
      </c>
      <c r="K244" s="35">
        <v>357.35966653243423</v>
      </c>
      <c r="L244" s="35">
        <v>416.94711586785604</v>
      </c>
    </row>
    <row r="245" spans="1:12">
      <c r="A245" s="35">
        <v>239.80175430383605</v>
      </c>
      <c r="B245" s="35">
        <v>253.21111463383733</v>
      </c>
      <c r="C245" s="35">
        <v>241.91812955274534</v>
      </c>
      <c r="D245" s="35">
        <v>237.52933095250754</v>
      </c>
      <c r="E245" s="35">
        <v>274.8845500504716</v>
      </c>
      <c r="F245" s="35">
        <v>233.35471899840661</v>
      </c>
      <c r="G245" s="35">
        <v>252.74014373549758</v>
      </c>
      <c r="H245" s="35">
        <v>256.97975850272292</v>
      </c>
      <c r="I245" s="35">
        <v>279.07959502061601</v>
      </c>
      <c r="J245" s="35">
        <v>292.47586400434534</v>
      </c>
      <c r="K245" s="35">
        <v>299.31411494143282</v>
      </c>
      <c r="L245" s="35">
        <v>358.60644907368413</v>
      </c>
    </row>
    <row r="246" spans="1:12">
      <c r="A246" s="35">
        <v>250.53935967500405</v>
      </c>
      <c r="B246" s="35">
        <v>255.42783476966153</v>
      </c>
      <c r="C246" s="35">
        <v>237.11974365308993</v>
      </c>
      <c r="D246" s="35">
        <v>226.07161521483258</v>
      </c>
      <c r="E246" s="35">
        <v>283.10511696284601</v>
      </c>
      <c r="F246" s="35">
        <v>230.55100153990844</v>
      </c>
      <c r="G246" s="35">
        <v>255.81832721772119</v>
      </c>
      <c r="H246" s="35">
        <v>264.07530266338847</v>
      </c>
      <c r="I246" s="35">
        <v>300.92915473612413</v>
      </c>
      <c r="J246" s="35">
        <v>299.07406161059362</v>
      </c>
      <c r="K246" s="35">
        <v>317.06142751309096</v>
      </c>
      <c r="L246" s="35">
        <v>376.38181883219772</v>
      </c>
    </row>
    <row r="247" spans="1:12">
      <c r="A247" s="35">
        <v>235.7193821484459</v>
      </c>
      <c r="B247" s="35">
        <v>255.94809068918573</v>
      </c>
      <c r="C247" s="35">
        <v>247.91951467602539</v>
      </c>
      <c r="D247" s="35">
        <v>221.8895101927173</v>
      </c>
      <c r="E247" s="35">
        <v>266.17435162068313</v>
      </c>
      <c r="F247" s="35">
        <v>221.2169075785425</v>
      </c>
      <c r="G247" s="35">
        <v>238.47582207803435</v>
      </c>
      <c r="H247" s="35">
        <v>238.42252209005289</v>
      </c>
      <c r="I247" s="35">
        <v>263.16586740447775</v>
      </c>
      <c r="J247" s="35">
        <v>273.96652113678067</v>
      </c>
      <c r="K247" s="35">
        <v>275.52999431625545</v>
      </c>
      <c r="L247" s="35">
        <v>335.11458881693665</v>
      </c>
    </row>
    <row r="248" spans="1:12">
      <c r="A248" s="35">
        <v>241.40491967095059</v>
      </c>
      <c r="B248" s="35">
        <v>264.42115710967681</v>
      </c>
      <c r="C248" s="35">
        <v>254.1873664788086</v>
      </c>
      <c r="D248" s="35">
        <v>234.41021665275287</v>
      </c>
      <c r="E248" s="35">
        <v>284.82315242970481</v>
      </c>
      <c r="F248" s="35">
        <v>245.09130304747677</v>
      </c>
      <c r="G248" s="35">
        <v>263.6258590180766</v>
      </c>
      <c r="H248" s="35">
        <v>268.26888442393886</v>
      </c>
      <c r="I248" s="35">
        <v>298.56280963805131</v>
      </c>
      <c r="J248" s="35">
        <v>305.56349183765826</v>
      </c>
      <c r="K248" s="35">
        <v>335.30394615695292</v>
      </c>
      <c r="L248" s="35">
        <v>381.55841284529777</v>
      </c>
    </row>
    <row r="249" spans="1:12">
      <c r="A249" s="35">
        <v>247.53284254448459</v>
      </c>
      <c r="B249" s="35">
        <v>268.05319464678695</v>
      </c>
      <c r="C249" s="35">
        <v>237.19275349735034</v>
      </c>
      <c r="D249" s="35">
        <v>243.70414502824653</v>
      </c>
      <c r="E249" s="35">
        <v>278.60985756552253</v>
      </c>
      <c r="F249" s="35">
        <v>246.07032843012686</v>
      </c>
      <c r="G249" s="35">
        <v>244.08862275118989</v>
      </c>
      <c r="H249" s="35">
        <v>255.49889258790927</v>
      </c>
      <c r="I249" s="35">
        <v>270.09642600373411</v>
      </c>
      <c r="J249" s="35">
        <v>286.06843141336293</v>
      </c>
      <c r="K249" s="35">
        <v>295.35149941626713</v>
      </c>
      <c r="L249" s="35">
        <v>345.1866877428418</v>
      </c>
    </row>
    <row r="250" spans="1:12">
      <c r="A250" s="35">
        <v>250.81513912905532</v>
      </c>
      <c r="B250" s="35">
        <v>248.9417238664019</v>
      </c>
      <c r="C250" s="35">
        <v>262.90543967365858</v>
      </c>
      <c r="D250" s="35">
        <v>246.55467650993495</v>
      </c>
      <c r="E250" s="35">
        <v>283.97635385260025</v>
      </c>
      <c r="F250" s="35">
        <v>246.77684413912942</v>
      </c>
      <c r="G250" s="35">
        <v>258.24055719798775</v>
      </c>
      <c r="H250" s="35">
        <v>254.53307034294127</v>
      </c>
      <c r="I250" s="35">
        <v>292.36788948025207</v>
      </c>
      <c r="J250" s="35">
        <v>307.27144808803422</v>
      </c>
      <c r="K250" s="35">
        <v>339.84473711723962</v>
      </c>
      <c r="L250" s="35">
        <v>385.99896490367388</v>
      </c>
    </row>
    <row r="251" spans="1:12">
      <c r="A251" s="35">
        <v>224.14790278157986</v>
      </c>
      <c r="B251" s="35">
        <v>259.15722419053469</v>
      </c>
      <c r="C251" s="35">
        <v>259.67054641914893</v>
      </c>
      <c r="D251" s="35">
        <v>238.05532503248466</v>
      </c>
      <c r="E251" s="35">
        <v>283.00138471076247</v>
      </c>
      <c r="F251" s="35">
        <v>261.92968695047364</v>
      </c>
      <c r="G251" s="35">
        <v>267.00154017891867</v>
      </c>
      <c r="H251" s="35">
        <v>253.85644888956443</v>
      </c>
      <c r="I251" s="35">
        <v>292.22176751859126</v>
      </c>
      <c r="J251" s="35">
        <v>307.3697178919079</v>
      </c>
      <c r="K251" s="35">
        <v>328.56598236141042</v>
      </c>
      <c r="L251" s="35">
        <v>393.48060459659371</v>
      </c>
    </row>
    <row r="252" spans="1:12">
      <c r="A252" s="35">
        <v>247.10323217063396</v>
      </c>
      <c r="B252" s="35">
        <v>259.47713157938591</v>
      </c>
      <c r="C252" s="35">
        <v>229.10728434895736</v>
      </c>
      <c r="D252" s="35">
        <v>255.8916528728526</v>
      </c>
      <c r="E252" s="35">
        <v>291.86799664524267</v>
      </c>
      <c r="F252" s="35">
        <v>233.22541321302612</v>
      </c>
      <c r="G252" s="35">
        <v>261.32612350966156</v>
      </c>
      <c r="H252" s="35">
        <v>267.1690153767201</v>
      </c>
      <c r="I252" s="35">
        <v>297.03282552934894</v>
      </c>
      <c r="J252" s="35">
        <v>317.80541814531131</v>
      </c>
      <c r="K252" s="35">
        <v>331.52317780055074</v>
      </c>
      <c r="L252" s="35">
        <v>386.88756459811543</v>
      </c>
    </row>
    <row r="253" spans="1:12">
      <c r="A253" s="35">
        <v>259.1479635945675</v>
      </c>
      <c r="B253" s="35">
        <v>267.95261511035574</v>
      </c>
      <c r="C253" s="35">
        <v>257.11968617319764</v>
      </c>
      <c r="D253" s="35">
        <v>267.31591495391848</v>
      </c>
      <c r="E253" s="35">
        <v>297.35103505508641</v>
      </c>
      <c r="F253" s="35">
        <v>256.56724004784854</v>
      </c>
      <c r="G253" s="35">
        <v>269.13209029802869</v>
      </c>
      <c r="H253" s="35">
        <v>279.83965880655848</v>
      </c>
      <c r="I253" s="35">
        <v>283.20334904505785</v>
      </c>
      <c r="J253" s="35">
        <v>324.18177849411126</v>
      </c>
      <c r="K253" s="35">
        <v>319.17694351829175</v>
      </c>
      <c r="L253" s="35">
        <v>376.77199032052152</v>
      </c>
    </row>
    <row r="254" spans="1:12">
      <c r="A254" s="35">
        <v>250.62972135078758</v>
      </c>
      <c r="B254" s="35">
        <v>249.99175493981954</v>
      </c>
      <c r="C254" s="35">
        <v>230.30508581216159</v>
      </c>
      <c r="D254" s="35">
        <v>240.46832845746511</v>
      </c>
      <c r="E254" s="35">
        <v>285.0826309840337</v>
      </c>
      <c r="F254" s="35">
        <v>247.92094532928016</v>
      </c>
      <c r="G254" s="35">
        <v>247.0592868444792</v>
      </c>
      <c r="H254" s="35">
        <v>264.58244119453838</v>
      </c>
      <c r="I254" s="35">
        <v>270.56936999180289</v>
      </c>
      <c r="J254" s="35">
        <v>283.39617163885578</v>
      </c>
      <c r="K254" s="35">
        <v>306.65697629764827</v>
      </c>
      <c r="L254" s="35">
        <v>335.39595988149949</v>
      </c>
    </row>
    <row r="255" spans="1:12">
      <c r="A255" s="35">
        <v>241.40782163828862</v>
      </c>
      <c r="B255" s="35">
        <v>257.06294242424616</v>
      </c>
      <c r="C255" s="35">
        <v>257.87804318796708</v>
      </c>
      <c r="D255" s="35">
        <v>247.74793096722715</v>
      </c>
      <c r="E255" s="35">
        <v>282.70687274311626</v>
      </c>
      <c r="F255" s="35">
        <v>279.9999906677607</v>
      </c>
      <c r="G255" s="35">
        <v>283.45874657997672</v>
      </c>
      <c r="H255" s="35">
        <v>270.78176588694191</v>
      </c>
      <c r="I255" s="35">
        <v>302.52229861282251</v>
      </c>
      <c r="J255" s="35">
        <v>317.82097169255979</v>
      </c>
      <c r="K255" s="35">
        <v>321.70057849425751</v>
      </c>
      <c r="L255" s="35">
        <v>392.3765311990345</v>
      </c>
    </row>
    <row r="256" spans="1:12">
      <c r="A256" s="35">
        <v>235.81048925510751</v>
      </c>
      <c r="B256" s="35">
        <v>262.67804540468842</v>
      </c>
      <c r="C256" s="35">
        <v>255.83347650001022</v>
      </c>
      <c r="D256" s="35">
        <v>243.30921783127209</v>
      </c>
      <c r="E256" s="35">
        <v>286.92356717687238</v>
      </c>
      <c r="F256" s="35">
        <v>249.26118991562623</v>
      </c>
      <c r="G256" s="35">
        <v>248.78577659228037</v>
      </c>
      <c r="H256" s="35">
        <v>259.69240622259878</v>
      </c>
      <c r="I256" s="35">
        <v>283.97642863211058</v>
      </c>
      <c r="J256" s="35">
        <v>296.91184501496372</v>
      </c>
      <c r="K256" s="35">
        <v>301.11821764114211</v>
      </c>
      <c r="L256" s="35">
        <v>359.06374240256042</v>
      </c>
    </row>
    <row r="257" spans="1:12">
      <c r="A257" s="35">
        <v>248.85958926925539</v>
      </c>
      <c r="B257" s="35">
        <v>270.41602954957341</v>
      </c>
      <c r="C257" s="35">
        <v>235.60641976065699</v>
      </c>
      <c r="D257" s="35">
        <v>241.31387188529635</v>
      </c>
      <c r="E257" s="35">
        <v>295.1093894663569</v>
      </c>
      <c r="F257" s="35">
        <v>256.79062893861766</v>
      </c>
      <c r="G257" s="35">
        <v>259.75669275498382</v>
      </c>
      <c r="H257" s="35">
        <v>259.13114679921875</v>
      </c>
      <c r="I257" s="35">
        <v>279.53675898186276</v>
      </c>
      <c r="J257" s="35">
        <v>313.76953814618338</v>
      </c>
      <c r="K257" s="35">
        <v>312.58790428622473</v>
      </c>
      <c r="L257" s="35">
        <v>375.83663612369008</v>
      </c>
    </row>
    <row r="258" spans="1:12">
      <c r="A258" s="35">
        <v>242.20284165092119</v>
      </c>
      <c r="B258" s="35">
        <v>270.22335167480179</v>
      </c>
      <c r="C258" s="35">
        <v>243.92250900837203</v>
      </c>
      <c r="D258" s="35">
        <v>245.75584814477102</v>
      </c>
      <c r="E258" s="35">
        <v>279.94804739106195</v>
      </c>
      <c r="F258" s="35">
        <v>262.26744895621187</v>
      </c>
      <c r="G258" s="35">
        <v>282.61172377186966</v>
      </c>
      <c r="H258" s="35">
        <v>266.90911871275244</v>
      </c>
      <c r="I258" s="35">
        <v>299.81836480446617</v>
      </c>
      <c r="J258" s="35">
        <v>297.99384502914756</v>
      </c>
      <c r="K258" s="35">
        <v>329.29238189050966</v>
      </c>
      <c r="L258" s="35">
        <v>381.50683455522517</v>
      </c>
    </row>
    <row r="259" spans="1:12">
      <c r="A259" s="35">
        <v>240.92762331508655</v>
      </c>
      <c r="B259" s="35">
        <v>250.36521934216333</v>
      </c>
      <c r="C259" s="35">
        <v>237.41255233675764</v>
      </c>
      <c r="D259" s="35">
        <v>235.8961887741292</v>
      </c>
      <c r="E259" s="35">
        <v>246.25710316113191</v>
      </c>
      <c r="F259" s="35">
        <v>221.6792810370851</v>
      </c>
      <c r="G259" s="35">
        <v>249.64665895160368</v>
      </c>
      <c r="H259" s="35">
        <v>257.66575926679735</v>
      </c>
      <c r="I259" s="35">
        <v>283.53200170775693</v>
      </c>
      <c r="J259" s="35">
        <v>284.12744776183553</v>
      </c>
      <c r="K259" s="35">
        <v>315.26204445979613</v>
      </c>
      <c r="L259" s="35">
        <v>353.9682648477816</v>
      </c>
    </row>
    <row r="260" spans="1:12">
      <c r="A260" s="35">
        <v>248.06201186675898</v>
      </c>
      <c r="B260" s="35">
        <v>243.28018789129479</v>
      </c>
      <c r="C260" s="35">
        <v>249.04752546551836</v>
      </c>
      <c r="D260" s="35">
        <v>228.32884700935008</v>
      </c>
      <c r="E260" s="35">
        <v>275.3053302097498</v>
      </c>
      <c r="F260" s="35">
        <v>241.34034815020493</v>
      </c>
      <c r="G260" s="35">
        <v>240.23736607645026</v>
      </c>
      <c r="H260" s="35">
        <v>265.49757819860451</v>
      </c>
      <c r="I260" s="35">
        <v>280.96217404269083</v>
      </c>
      <c r="J260" s="35">
        <v>307.9710862615924</v>
      </c>
      <c r="K260" s="35">
        <v>317.07973528030175</v>
      </c>
      <c r="L260" s="35">
        <v>368.12528305881233</v>
      </c>
    </row>
    <row r="261" spans="1:12">
      <c r="A261" s="35">
        <v>243.47032638557363</v>
      </c>
      <c r="B261" s="35">
        <v>260.85194618819258</v>
      </c>
      <c r="C261" s="35">
        <v>231.96554374329403</v>
      </c>
      <c r="D261" s="35">
        <v>242.3449529176834</v>
      </c>
      <c r="E261" s="35">
        <v>278.61711618528733</v>
      </c>
      <c r="F261" s="35">
        <v>266.80255284194061</v>
      </c>
      <c r="G261" s="35">
        <v>248.98930439113425</v>
      </c>
      <c r="H261" s="35">
        <v>271.60658714345669</v>
      </c>
      <c r="I261" s="35">
        <v>292.14951087736387</v>
      </c>
      <c r="J261" s="35">
        <v>294.74407837060278</v>
      </c>
      <c r="K261" s="35">
        <v>330.52339853202443</v>
      </c>
      <c r="L261" s="35">
        <v>392.20137176048758</v>
      </c>
    </row>
    <row r="262" spans="1:12">
      <c r="A262" s="35">
        <v>257.6694637643842</v>
      </c>
      <c r="B262" s="35">
        <v>261.3161434931618</v>
      </c>
      <c r="C262" s="35">
        <v>230.00050323261158</v>
      </c>
      <c r="D262" s="35">
        <v>222.38939073432687</v>
      </c>
      <c r="E262" s="35">
        <v>267.65231005330725</v>
      </c>
      <c r="F262" s="35">
        <v>231.82995367235787</v>
      </c>
      <c r="G262" s="35">
        <v>238.85762425098616</v>
      </c>
      <c r="H262" s="35">
        <v>254.83195959000082</v>
      </c>
      <c r="I262" s="35">
        <v>254.2093321630017</v>
      </c>
      <c r="J262" s="35">
        <v>267.84765422811256</v>
      </c>
      <c r="K262" s="35">
        <v>278.63107831236408</v>
      </c>
      <c r="L262" s="35">
        <v>323.16300916659083</v>
      </c>
    </row>
    <row r="263" spans="1:12">
      <c r="A263" s="35">
        <v>260.47216247980765</v>
      </c>
      <c r="B263" s="35">
        <v>269.13417496049072</v>
      </c>
      <c r="C263" s="35">
        <v>231.69339807030795</v>
      </c>
      <c r="D263" s="35">
        <v>235.87819878677894</v>
      </c>
      <c r="E263" s="35">
        <v>288.49506449623954</v>
      </c>
      <c r="F263" s="35">
        <v>254.62716200662706</v>
      </c>
      <c r="G263" s="35">
        <v>244.90947684133056</v>
      </c>
      <c r="H263" s="35">
        <v>253.20997756237591</v>
      </c>
      <c r="I263" s="35">
        <v>277.50603800054796</v>
      </c>
      <c r="J263" s="35">
        <v>286.97129619723728</v>
      </c>
      <c r="K263" s="35">
        <v>311.08398751628067</v>
      </c>
      <c r="L263" s="35">
        <v>358.80839047792568</v>
      </c>
    </row>
    <row r="264" spans="1:12">
      <c r="A264" s="35">
        <v>264.52055986435255</v>
      </c>
      <c r="B264" s="35">
        <v>262.47837206816183</v>
      </c>
      <c r="C264" s="35">
        <v>235.88303020018665</v>
      </c>
      <c r="D264" s="35">
        <v>225.53020891290944</v>
      </c>
      <c r="E264" s="35">
        <v>282.48627085109052</v>
      </c>
      <c r="F264" s="35">
        <v>221.72749118484541</v>
      </c>
      <c r="G264" s="35">
        <v>262.41933068603697</v>
      </c>
      <c r="H264" s="35">
        <v>266.95476555261149</v>
      </c>
      <c r="I264" s="35">
        <v>280.82965603124694</v>
      </c>
      <c r="J264" s="35">
        <v>297.26152994814782</v>
      </c>
      <c r="K264" s="35">
        <v>303.50927178559749</v>
      </c>
      <c r="L264" s="35">
        <v>374.90879072597687</v>
      </c>
    </row>
    <row r="265" spans="1:12">
      <c r="A265" s="35">
        <v>253.93531662609496</v>
      </c>
      <c r="B265" s="35">
        <v>277.58316955752781</v>
      </c>
      <c r="C265" s="35">
        <v>239.70532542546715</v>
      </c>
      <c r="D265" s="35">
        <v>252.30651104754702</v>
      </c>
      <c r="E265" s="35">
        <v>295.4761882029228</v>
      </c>
      <c r="F265" s="35">
        <v>271.67282604019385</v>
      </c>
      <c r="G265" s="35">
        <v>267.56863224384335</v>
      </c>
      <c r="H265" s="35">
        <v>263.28128661273183</v>
      </c>
      <c r="I265" s="35">
        <v>293.72741429745696</v>
      </c>
      <c r="J265" s="35">
        <v>311.09308205045534</v>
      </c>
      <c r="K265" s="35">
        <v>313.41947949210714</v>
      </c>
      <c r="L265" s="35">
        <v>380.27486996729135</v>
      </c>
    </row>
    <row r="266" spans="1:12">
      <c r="A266" s="35">
        <v>240.96667420435335</v>
      </c>
      <c r="B266" s="35">
        <v>255.84813821542502</v>
      </c>
      <c r="C266" s="35">
        <v>223.60528976883836</v>
      </c>
      <c r="D266" s="35">
        <v>228.93314023690834</v>
      </c>
      <c r="E266" s="35">
        <v>274.04353966812528</v>
      </c>
      <c r="F266" s="35">
        <v>242.67390401111692</v>
      </c>
      <c r="G266" s="35">
        <v>251.4087727528136</v>
      </c>
      <c r="H266" s="35">
        <v>245.46488284807771</v>
      </c>
      <c r="I266" s="35">
        <v>285.36851932368336</v>
      </c>
      <c r="J266" s="35">
        <v>272.70513047775671</v>
      </c>
      <c r="K266" s="35">
        <v>283.19960438655187</v>
      </c>
      <c r="L266" s="35">
        <v>349.37085507905726</v>
      </c>
    </row>
    <row r="267" spans="1:12">
      <c r="A267" s="35">
        <v>239.21893513550577</v>
      </c>
      <c r="B267" s="35">
        <v>251.38109840471702</v>
      </c>
      <c r="C267" s="35">
        <v>236.44578411375434</v>
      </c>
      <c r="D267" s="35">
        <v>247.92495577171118</v>
      </c>
      <c r="E267" s="35">
        <v>288.66721836001096</v>
      </c>
      <c r="F267" s="35">
        <v>254.24144151609107</v>
      </c>
      <c r="G267" s="35">
        <v>265.11894691137599</v>
      </c>
      <c r="H267" s="35">
        <v>261.99905829588408</v>
      </c>
      <c r="I267" s="35">
        <v>288.50409263703574</v>
      </c>
      <c r="J267" s="35">
        <v>307.28621588133979</v>
      </c>
      <c r="K267" s="35">
        <v>322.33902951911108</v>
      </c>
      <c r="L267" s="35">
        <v>388.73203162803043</v>
      </c>
    </row>
    <row r="268" spans="1:12">
      <c r="A268" s="35">
        <v>256.27534650413776</v>
      </c>
      <c r="B268" s="35">
        <v>267.82137734029925</v>
      </c>
      <c r="C268" s="35">
        <v>250.8713735850306</v>
      </c>
      <c r="D268" s="35">
        <v>250.25109320953806</v>
      </c>
      <c r="E268" s="35">
        <v>296.11267733839412</v>
      </c>
      <c r="F268" s="35">
        <v>261.24272358504118</v>
      </c>
      <c r="G268" s="35">
        <v>268.08165166646245</v>
      </c>
      <c r="H268" s="35">
        <v>272.74224865616952</v>
      </c>
      <c r="I268" s="35">
        <v>305.63786090278103</v>
      </c>
      <c r="J268" s="35">
        <v>306.18114921280664</v>
      </c>
      <c r="K268" s="35">
        <v>326.72247509959448</v>
      </c>
      <c r="L268" s="35">
        <v>370.70554712896558</v>
      </c>
    </row>
    <row r="269" spans="1:12">
      <c r="A269" s="35">
        <v>232.0728791138589</v>
      </c>
      <c r="B269" s="35">
        <v>265.46787612380621</v>
      </c>
      <c r="C269" s="35">
        <v>238.25449142102124</v>
      </c>
      <c r="D269" s="35">
        <v>238.83684042626135</v>
      </c>
      <c r="E269" s="35">
        <v>270.82290022388133</v>
      </c>
      <c r="F269" s="35">
        <v>241.7299956020544</v>
      </c>
      <c r="G269" s="35">
        <v>256.07290688795422</v>
      </c>
      <c r="H269" s="35">
        <v>259.18183362242775</v>
      </c>
      <c r="I269" s="35">
        <v>255.60041559171759</v>
      </c>
      <c r="J269" s="35">
        <v>287.87767852588314</v>
      </c>
      <c r="K269" s="35">
        <v>318.70719373862613</v>
      </c>
      <c r="L269" s="35">
        <v>349.02304215477579</v>
      </c>
    </row>
    <row r="270" spans="1:12">
      <c r="A270" s="35">
        <v>254.07019904526237</v>
      </c>
      <c r="B270" s="35">
        <v>270.20102365443802</v>
      </c>
      <c r="C270" s="35">
        <v>256.63405420049554</v>
      </c>
      <c r="D270" s="35">
        <v>266.53703791600412</v>
      </c>
      <c r="E270" s="35">
        <v>291.26936313952626</v>
      </c>
      <c r="F270" s="35">
        <v>278.95558830924938</v>
      </c>
      <c r="G270" s="35">
        <v>283.53297985725516</v>
      </c>
      <c r="H270" s="35">
        <v>297.69689683112966</v>
      </c>
      <c r="I270" s="35">
        <v>323.75151419232986</v>
      </c>
      <c r="J270" s="35">
        <v>349.86450615723129</v>
      </c>
      <c r="K270" s="35">
        <v>378.43102536263177</v>
      </c>
      <c r="L270" s="35">
        <v>446.84917193189926</v>
      </c>
    </row>
    <row r="271" spans="1:12">
      <c r="A271" s="35">
        <v>243.56852819598703</v>
      </c>
      <c r="B271" s="35">
        <v>252.39129191019063</v>
      </c>
      <c r="C271" s="35">
        <v>246.41985565902249</v>
      </c>
      <c r="D271" s="35">
        <v>229.68641732500046</v>
      </c>
      <c r="E271" s="35">
        <v>268.55285973223312</v>
      </c>
      <c r="F271" s="35">
        <v>241.17354329081297</v>
      </c>
      <c r="G271" s="35">
        <v>265.30325164637759</v>
      </c>
      <c r="H271" s="35">
        <v>261.07007366947289</v>
      </c>
      <c r="I271" s="35">
        <v>279.43573182572106</v>
      </c>
      <c r="J271" s="35">
        <v>294.68917901338284</v>
      </c>
      <c r="K271" s="35">
        <v>298.94333312002902</v>
      </c>
      <c r="L271" s="35">
        <v>361.76787039796557</v>
      </c>
    </row>
    <row r="272" spans="1:12">
      <c r="A272" s="35">
        <v>237.87911242131784</v>
      </c>
      <c r="B272" s="35">
        <v>274.50039182733542</v>
      </c>
      <c r="C272" s="35">
        <v>241.4774560894773</v>
      </c>
      <c r="D272" s="35">
        <v>258.73841488750907</v>
      </c>
      <c r="E272" s="35">
        <v>282.32539772080514</v>
      </c>
      <c r="F272" s="35">
        <v>243.12847676844495</v>
      </c>
      <c r="G272" s="35">
        <v>242.25029344114171</v>
      </c>
      <c r="H272" s="35">
        <v>257.48130445825188</v>
      </c>
      <c r="I272" s="35">
        <v>259.07256682956461</v>
      </c>
      <c r="J272" s="35">
        <v>289.55416260325575</v>
      </c>
      <c r="K272" s="35">
        <v>290.09828690063205</v>
      </c>
      <c r="L272" s="35">
        <v>339.60371826912814</v>
      </c>
    </row>
    <row r="273" spans="1:12">
      <c r="A273" s="35">
        <v>248.24409240627585</v>
      </c>
      <c r="B273" s="35">
        <v>252.27984131355382</v>
      </c>
      <c r="C273" s="35">
        <v>234.19968418312621</v>
      </c>
      <c r="D273" s="35">
        <v>223.37173449535194</v>
      </c>
      <c r="E273" s="35">
        <v>272.71908399539529</v>
      </c>
      <c r="F273" s="35">
        <v>232.170537479497</v>
      </c>
      <c r="G273" s="35">
        <v>228.04162346145651</v>
      </c>
      <c r="H273" s="35">
        <v>232.15878159103363</v>
      </c>
      <c r="I273" s="35">
        <v>258.32078119069058</v>
      </c>
      <c r="J273" s="35">
        <v>258.01900190604312</v>
      </c>
      <c r="K273" s="35">
        <v>264.15964227701539</v>
      </c>
      <c r="L273" s="35">
        <v>315.97192046421509</v>
      </c>
    </row>
    <row r="274" spans="1:12">
      <c r="A274" s="35">
        <v>243.68165865893155</v>
      </c>
      <c r="B274" s="35">
        <v>261.66744030981414</v>
      </c>
      <c r="C274" s="35">
        <v>237.12605368697487</v>
      </c>
      <c r="D274" s="35">
        <v>236.52421723199649</v>
      </c>
      <c r="E274" s="35">
        <v>282.43566775723428</v>
      </c>
      <c r="F274" s="35">
        <v>257.15171858361305</v>
      </c>
      <c r="G274" s="35">
        <v>275.19942765385809</v>
      </c>
      <c r="H274" s="35">
        <v>290.25145962065039</v>
      </c>
      <c r="I274" s="35">
        <v>320.51588920852436</v>
      </c>
      <c r="J274" s="35">
        <v>335.87162042536687</v>
      </c>
      <c r="K274" s="35">
        <v>328.07801818174062</v>
      </c>
      <c r="L274" s="35">
        <v>391.95912653824809</v>
      </c>
    </row>
    <row r="275" spans="1:12">
      <c r="A275" s="35">
        <v>262.60814141700644</v>
      </c>
      <c r="B275" s="35">
        <v>263.46358913798247</v>
      </c>
      <c r="C275" s="35">
        <v>239.76857909050059</v>
      </c>
      <c r="D275" s="35">
        <v>236.4546599873126</v>
      </c>
      <c r="E275" s="35">
        <v>284.25522823319596</v>
      </c>
      <c r="F275" s="35">
        <v>245.84770608198895</v>
      </c>
      <c r="G275" s="35">
        <v>247.02464921667053</v>
      </c>
      <c r="H275" s="35">
        <v>255.65213370362369</v>
      </c>
      <c r="I275" s="35">
        <v>288.39567752868203</v>
      </c>
      <c r="J275" s="35">
        <v>298.04594709904893</v>
      </c>
      <c r="K275" s="35">
        <v>294.13517566046818</v>
      </c>
      <c r="L275" s="35">
        <v>356.23131537068309</v>
      </c>
    </row>
    <row r="276" spans="1:12">
      <c r="A276" s="35">
        <v>243.38970939951173</v>
      </c>
      <c r="B276" s="35">
        <v>274.14238634098547</v>
      </c>
      <c r="C276" s="35">
        <v>229.21198953025376</v>
      </c>
      <c r="D276" s="35">
        <v>250.97014812071058</v>
      </c>
      <c r="E276" s="35">
        <v>280.3286040799145</v>
      </c>
      <c r="F276" s="35">
        <v>258.29464165993545</v>
      </c>
      <c r="G276" s="35">
        <v>241.93504396654802</v>
      </c>
      <c r="H276" s="35">
        <v>267.78995331605273</v>
      </c>
      <c r="I276" s="35">
        <v>300.95661176311432</v>
      </c>
      <c r="J276" s="35">
        <v>309.41138240970042</v>
      </c>
      <c r="K276" s="35">
        <v>306.32151619475366</v>
      </c>
      <c r="L276" s="35">
        <v>371.14266177264045</v>
      </c>
    </row>
    <row r="277" spans="1:12">
      <c r="A277" s="35">
        <v>253.3270242683121</v>
      </c>
      <c r="B277" s="35">
        <v>249.54592084042025</v>
      </c>
      <c r="C277" s="35">
        <v>228.09537560520695</v>
      </c>
      <c r="D277" s="35">
        <v>232.1249127081349</v>
      </c>
      <c r="E277" s="35">
        <v>268.23723617889146</v>
      </c>
      <c r="F277" s="35">
        <v>242.89877924028639</v>
      </c>
      <c r="G277" s="35">
        <v>237.93922373906861</v>
      </c>
      <c r="H277" s="35">
        <v>238.55975647785905</v>
      </c>
      <c r="I277" s="35">
        <v>266.27560775373109</v>
      </c>
      <c r="J277" s="35">
        <v>270.68191796889079</v>
      </c>
      <c r="K277" s="35">
        <v>277.5882827413601</v>
      </c>
      <c r="L277" s="35">
        <v>320.57922819793458</v>
      </c>
    </row>
    <row r="278" spans="1:12">
      <c r="A278" s="35">
        <v>244.28724233999893</v>
      </c>
      <c r="B278" s="35">
        <v>257.82290571953672</v>
      </c>
      <c r="C278" s="35">
        <v>212.86715802913835</v>
      </c>
      <c r="D278" s="35">
        <v>211.14823952510449</v>
      </c>
      <c r="E278" s="35">
        <v>275.00962968814503</v>
      </c>
      <c r="F278" s="35">
        <v>222.35080369501506</v>
      </c>
      <c r="G278" s="35">
        <v>243.81811736737538</v>
      </c>
      <c r="H278" s="35">
        <v>235.33326712039661</v>
      </c>
      <c r="I278" s="35">
        <v>246.59557848622995</v>
      </c>
      <c r="J278" s="35">
        <v>244.21117993216268</v>
      </c>
      <c r="K278" s="35">
        <v>259.90123792273431</v>
      </c>
      <c r="L278" s="35">
        <v>298.4966170205401</v>
      </c>
    </row>
    <row r="279" spans="1:12">
      <c r="A279" s="35">
        <v>240.33989832168385</v>
      </c>
      <c r="B279" s="35">
        <v>259.94207742131914</v>
      </c>
      <c r="C279" s="35">
        <v>234.94399140844698</v>
      </c>
      <c r="D279" s="35">
        <v>254.21638967048031</v>
      </c>
      <c r="E279" s="35">
        <v>291.44473951618539</v>
      </c>
      <c r="F279" s="35">
        <v>263.85318300803323</v>
      </c>
      <c r="G279" s="35">
        <v>269.07951705934283</v>
      </c>
      <c r="H279" s="35">
        <v>282.86579961379539</v>
      </c>
      <c r="I279" s="35">
        <v>288.18190084065202</v>
      </c>
      <c r="J279" s="35">
        <v>308.45352328969119</v>
      </c>
      <c r="K279" s="35">
        <v>328.70821133292884</v>
      </c>
      <c r="L279" s="35">
        <v>377.87068404304722</v>
      </c>
    </row>
    <row r="280" spans="1:12">
      <c r="A280" s="35">
        <v>244.56872715730131</v>
      </c>
      <c r="B280" s="35">
        <v>262.48625632782142</v>
      </c>
      <c r="C280" s="35">
        <v>227.53891724402635</v>
      </c>
      <c r="D280" s="35">
        <v>228.9535969785756</v>
      </c>
      <c r="E280" s="35">
        <v>272.40090336484928</v>
      </c>
      <c r="F280" s="35">
        <v>237.25520055993641</v>
      </c>
      <c r="G280" s="35">
        <v>257.71540901641765</v>
      </c>
      <c r="H280" s="35">
        <v>256.19512100973373</v>
      </c>
      <c r="I280" s="35">
        <v>257.75687959472674</v>
      </c>
      <c r="J280" s="35">
        <v>289.10301217986051</v>
      </c>
      <c r="K280" s="35">
        <v>298.78513646869334</v>
      </c>
      <c r="L280" s="35">
        <v>339.82291828091388</v>
      </c>
    </row>
    <row r="281" spans="1:12">
      <c r="A281" s="35">
        <v>248.60840510170075</v>
      </c>
      <c r="B281" s="35">
        <v>242.76660466624742</v>
      </c>
      <c r="C281" s="35">
        <v>235.33649138041196</v>
      </c>
      <c r="D281" s="35">
        <v>234.25385068590933</v>
      </c>
      <c r="E281" s="35">
        <v>252.1991719814869</v>
      </c>
      <c r="F281" s="35">
        <v>254.48136517360868</v>
      </c>
      <c r="G281" s="35">
        <v>260.93588378641556</v>
      </c>
      <c r="H281" s="35">
        <v>265.36225535961319</v>
      </c>
      <c r="I281" s="35">
        <v>294.07366913878536</v>
      </c>
      <c r="J281" s="35">
        <v>304.98096408815218</v>
      </c>
      <c r="K281" s="35">
        <v>314.52415851613404</v>
      </c>
      <c r="L281" s="35">
        <v>348.72003045747124</v>
      </c>
    </row>
    <row r="282" spans="1:12">
      <c r="A282" s="35">
        <v>250.39744080939346</v>
      </c>
      <c r="B282" s="35">
        <v>261.18169200871159</v>
      </c>
      <c r="C282" s="35">
        <v>252.29868439130374</v>
      </c>
      <c r="D282" s="35">
        <v>246.00217088639315</v>
      </c>
      <c r="E282" s="35">
        <v>262.9282950097994</v>
      </c>
      <c r="F282" s="35">
        <v>246.50073998941008</v>
      </c>
      <c r="G282" s="35">
        <v>253.87412777167694</v>
      </c>
      <c r="H282" s="35">
        <v>262.20227670464629</v>
      </c>
      <c r="I282" s="35">
        <v>274.62035711854759</v>
      </c>
      <c r="J282" s="35">
        <v>280.2641299328256</v>
      </c>
      <c r="K282" s="35">
        <v>295.91400896215498</v>
      </c>
      <c r="L282" s="35">
        <v>358.73219066084181</v>
      </c>
    </row>
    <row r="283" spans="1:12">
      <c r="A283" s="35">
        <v>241.29444684643516</v>
      </c>
      <c r="B283" s="35">
        <v>265.66684535045795</v>
      </c>
      <c r="C283" s="35">
        <v>256.82508407999387</v>
      </c>
      <c r="D283" s="35">
        <v>244.17134119862433</v>
      </c>
      <c r="E283" s="35">
        <v>280.57805362471152</v>
      </c>
      <c r="F283" s="35">
        <v>269.2147411357588</v>
      </c>
      <c r="G283" s="35">
        <v>280.31401132256156</v>
      </c>
      <c r="H283" s="35">
        <v>276.28284089578386</v>
      </c>
      <c r="I283" s="35">
        <v>316.03936616358652</v>
      </c>
      <c r="J283" s="35">
        <v>338.49041392831327</v>
      </c>
      <c r="K283" s="35">
        <v>363.68106848135648</v>
      </c>
      <c r="L283" s="35">
        <v>420.70163639737115</v>
      </c>
    </row>
    <row r="284" spans="1:12">
      <c r="A284" s="35">
        <v>243.87300406353762</v>
      </c>
      <c r="B284" s="35">
        <v>240.42059943761427</v>
      </c>
      <c r="C284" s="35">
        <v>236.30195696062128</v>
      </c>
      <c r="D284" s="35">
        <v>220.56911399461239</v>
      </c>
      <c r="E284" s="35">
        <v>283.06254607141472</v>
      </c>
      <c r="F284" s="35">
        <v>247.39434983425414</v>
      </c>
      <c r="G284" s="35">
        <v>271.04951759581252</v>
      </c>
      <c r="H284" s="35">
        <v>287.67642861056424</v>
      </c>
      <c r="I284" s="35">
        <v>298.55406616326718</v>
      </c>
      <c r="J284" s="35">
        <v>310.68088233031995</v>
      </c>
      <c r="K284" s="35">
        <v>340.94140950893484</v>
      </c>
      <c r="L284" s="35">
        <v>422.23801648339906</v>
      </c>
    </row>
    <row r="285" spans="1:12">
      <c r="A285" s="35">
        <v>272.94918394716842</v>
      </c>
      <c r="B285" s="35">
        <v>281.15893775199419</v>
      </c>
      <c r="C285" s="35">
        <v>263.59284976759903</v>
      </c>
      <c r="D285" s="35">
        <v>259.836662152109</v>
      </c>
      <c r="E285" s="35">
        <v>294.14047997109009</v>
      </c>
      <c r="F285" s="35">
        <v>243.47993097155319</v>
      </c>
      <c r="G285" s="35">
        <v>269.74181836800477</v>
      </c>
      <c r="H285" s="35">
        <v>289.83512617746237</v>
      </c>
      <c r="I285" s="35">
        <v>295.28389068343665</v>
      </c>
      <c r="J285" s="35">
        <v>334.90658675219885</v>
      </c>
      <c r="K285" s="35">
        <v>332.0628995374426</v>
      </c>
      <c r="L285" s="35">
        <v>424.29597157780165</v>
      </c>
    </row>
    <row r="286" spans="1:12">
      <c r="A286" s="35">
        <v>262.24193990727827</v>
      </c>
      <c r="B286" s="35">
        <v>270.66031996882657</v>
      </c>
      <c r="C286" s="35">
        <v>235.68377926187119</v>
      </c>
      <c r="D286" s="35">
        <v>247.9614356576636</v>
      </c>
      <c r="E286" s="35">
        <v>288.63234339902164</v>
      </c>
      <c r="F286" s="35">
        <v>229.8780496006674</v>
      </c>
      <c r="G286" s="35">
        <v>265.62917987538532</v>
      </c>
      <c r="H286" s="35">
        <v>268.4284858699192</v>
      </c>
      <c r="I286" s="35">
        <v>299.06088986422094</v>
      </c>
      <c r="J286" s="35">
        <v>295.52717034320244</v>
      </c>
      <c r="K286" s="35">
        <v>307.23337569965145</v>
      </c>
      <c r="L286" s="35">
        <v>365.16258950542243</v>
      </c>
    </row>
    <row r="287" spans="1:12">
      <c r="A287" s="35">
        <v>237.90421371081581</v>
      </c>
      <c r="B287" s="35">
        <v>251.42197021862904</v>
      </c>
      <c r="C287" s="35">
        <v>233.53442923745246</v>
      </c>
      <c r="D287" s="35">
        <v>242.44781397920133</v>
      </c>
      <c r="E287" s="35">
        <v>275.41973768597745</v>
      </c>
      <c r="F287" s="35">
        <v>235.89561724919562</v>
      </c>
      <c r="G287" s="35">
        <v>245.46594964648224</v>
      </c>
      <c r="H287" s="35">
        <v>258.52495516168312</v>
      </c>
      <c r="I287" s="35">
        <v>294.85700409924868</v>
      </c>
      <c r="J287" s="35">
        <v>295.20217305564103</v>
      </c>
      <c r="K287" s="35">
        <v>312.88983764903043</v>
      </c>
      <c r="L287" s="35">
        <v>378.79144271780677</v>
      </c>
    </row>
    <row r="288" spans="1:12">
      <c r="A288" s="35">
        <v>223.32768980086985</v>
      </c>
      <c r="B288" s="35">
        <v>247.28558457169828</v>
      </c>
      <c r="C288" s="35">
        <v>226.60365945908242</v>
      </c>
      <c r="D288" s="35">
        <v>218.84924321161142</v>
      </c>
      <c r="E288" s="35">
        <v>251.48968886156683</v>
      </c>
      <c r="F288" s="35">
        <v>213.08568074108271</v>
      </c>
      <c r="G288" s="35">
        <v>223.25068566501776</v>
      </c>
      <c r="H288" s="35">
        <v>221.01546241613252</v>
      </c>
      <c r="I288" s="35">
        <v>241.11072553587599</v>
      </c>
      <c r="J288" s="35">
        <v>241.10737108381917</v>
      </c>
      <c r="K288" s="35">
        <v>270.52305528004246</v>
      </c>
      <c r="L288" s="35">
        <v>286.60024364462043</v>
      </c>
    </row>
    <row r="289" spans="1:12">
      <c r="A289" s="35">
        <v>234.61279662209034</v>
      </c>
      <c r="B289" s="35">
        <v>249.18602457171031</v>
      </c>
      <c r="C289" s="35">
        <v>235.11776439084554</v>
      </c>
      <c r="D289" s="35">
        <v>221.28172707534824</v>
      </c>
      <c r="E289" s="35">
        <v>270.13319981642951</v>
      </c>
      <c r="F289" s="35">
        <v>243.2107896412999</v>
      </c>
      <c r="G289" s="35">
        <v>247.71485228758516</v>
      </c>
      <c r="H289" s="35">
        <v>237.20363056164362</v>
      </c>
      <c r="I289" s="35">
        <v>266.04724948153324</v>
      </c>
      <c r="J289" s="35">
        <v>285.54852941027548</v>
      </c>
      <c r="K289" s="35">
        <v>289.32756575905421</v>
      </c>
      <c r="L289" s="35">
        <v>328.23811844305794</v>
      </c>
    </row>
    <row r="290" spans="1:12">
      <c r="A290" s="35">
        <v>244.65167663405214</v>
      </c>
      <c r="B290" s="35">
        <v>255.67942258459328</v>
      </c>
      <c r="C290" s="35">
        <v>236.36688957163832</v>
      </c>
      <c r="D290" s="35">
        <v>232.77677580590475</v>
      </c>
      <c r="E290" s="35">
        <v>266.16657437174712</v>
      </c>
      <c r="F290" s="35">
        <v>239.16973729137752</v>
      </c>
      <c r="G290" s="35">
        <v>252.17403763937295</v>
      </c>
      <c r="H290" s="35">
        <v>263.32613056889539</v>
      </c>
      <c r="I290" s="35">
        <v>270.91846803629335</v>
      </c>
      <c r="J290" s="35">
        <v>284.66857386174723</v>
      </c>
      <c r="K290" s="35">
        <v>304.13678164857521</v>
      </c>
      <c r="L290" s="35">
        <v>355.55039256101622</v>
      </c>
    </row>
    <row r="291" spans="1:12">
      <c r="A291" s="35">
        <v>234.08672171918431</v>
      </c>
      <c r="B291" s="35">
        <v>249.94304066648965</v>
      </c>
      <c r="C291" s="35">
        <v>232.77457297334726</v>
      </c>
      <c r="D291" s="35">
        <v>229.65687589579377</v>
      </c>
      <c r="E291" s="35">
        <v>265.06934874526343</v>
      </c>
      <c r="F291" s="35">
        <v>238.6909012418725</v>
      </c>
      <c r="G291" s="35">
        <v>250.25764099337752</v>
      </c>
      <c r="H291" s="35">
        <v>266.3321106220119</v>
      </c>
      <c r="I291" s="35">
        <v>290.47679420084194</v>
      </c>
      <c r="J291" s="35">
        <v>303.99169313717863</v>
      </c>
      <c r="K291" s="35">
        <v>318.24367497687109</v>
      </c>
      <c r="L291" s="35">
        <v>386.08988513445922</v>
      </c>
    </row>
    <row r="292" spans="1:12">
      <c r="A292" s="35">
        <v>242.39759410401396</v>
      </c>
      <c r="B292" s="35">
        <v>270.09378550024718</v>
      </c>
      <c r="C292" s="35">
        <v>240.91880321805027</v>
      </c>
      <c r="D292" s="35">
        <v>233.3105370413659</v>
      </c>
      <c r="E292" s="35">
        <v>277.30321552136269</v>
      </c>
      <c r="F292" s="35">
        <v>230.99725801440437</v>
      </c>
      <c r="G292" s="35">
        <v>258.03533269321395</v>
      </c>
      <c r="H292" s="35">
        <v>259.41798232861964</v>
      </c>
      <c r="I292" s="35">
        <v>284.81501021001441</v>
      </c>
      <c r="J292" s="35">
        <v>309.71820825660541</v>
      </c>
      <c r="K292" s="35">
        <v>303.42004406123652</v>
      </c>
      <c r="L292" s="35">
        <v>382.07221838111292</v>
      </c>
    </row>
    <row r="293" spans="1:12">
      <c r="A293" s="35">
        <v>267.89344671831009</v>
      </c>
      <c r="B293" s="35">
        <v>259.87315595196452</v>
      </c>
      <c r="C293" s="35">
        <v>235.81780916264353</v>
      </c>
      <c r="D293" s="35">
        <v>245.60596066577202</v>
      </c>
      <c r="E293" s="35">
        <v>288.90010083245943</v>
      </c>
      <c r="F293" s="35">
        <v>279.20014850737221</v>
      </c>
      <c r="G293" s="35">
        <v>280.88608043365969</v>
      </c>
      <c r="H293" s="35">
        <v>285.2052985943958</v>
      </c>
      <c r="I293" s="35">
        <v>331.53611499608741</v>
      </c>
      <c r="J293" s="35">
        <v>327.19304970492374</v>
      </c>
      <c r="K293" s="35">
        <v>338.10647389285253</v>
      </c>
      <c r="L293" s="35">
        <v>407.99746784734839</v>
      </c>
    </row>
    <row r="294" spans="1:12">
      <c r="A294" s="35">
        <v>229.25146206485579</v>
      </c>
      <c r="B294" s="35">
        <v>260.63682171978536</v>
      </c>
      <c r="C294" s="35">
        <v>242.20008860476869</v>
      </c>
      <c r="D294" s="35">
        <v>209.89585840907279</v>
      </c>
      <c r="E294" s="35">
        <v>255.78260447330808</v>
      </c>
      <c r="F294" s="35">
        <v>230.65211036168549</v>
      </c>
      <c r="G294" s="35">
        <v>217.83912387114472</v>
      </c>
      <c r="H294" s="35">
        <v>228.54674015850372</v>
      </c>
      <c r="I294" s="35">
        <v>256.50868570062426</v>
      </c>
      <c r="J294" s="35">
        <v>244.47582796439258</v>
      </c>
      <c r="K294" s="35">
        <v>272.0812635842347</v>
      </c>
      <c r="L294" s="35">
        <v>318.71513298486184</v>
      </c>
    </row>
    <row r="295" spans="1:12">
      <c r="A295" s="35">
        <v>246.54757142125041</v>
      </c>
      <c r="B295" s="35">
        <v>257.01537255432373</v>
      </c>
      <c r="C295" s="35">
        <v>254.33268476407176</v>
      </c>
      <c r="D295" s="35">
        <v>257.06511661864516</v>
      </c>
      <c r="E295" s="35">
        <v>279.72371488157114</v>
      </c>
      <c r="F295" s="35">
        <v>245.3845476857106</v>
      </c>
      <c r="G295" s="35">
        <v>273.10553963364532</v>
      </c>
      <c r="H295" s="35">
        <v>277.48791763850198</v>
      </c>
      <c r="I295" s="35">
        <v>304.04167903872008</v>
      </c>
      <c r="J295" s="35">
        <v>335.16645762286777</v>
      </c>
      <c r="K295" s="35">
        <v>343.43825831218527</v>
      </c>
      <c r="L295" s="35">
        <v>393.23676258421699</v>
      </c>
    </row>
    <row r="296" spans="1:12">
      <c r="A296" s="35">
        <v>237.05250966881161</v>
      </c>
      <c r="B296" s="35">
        <v>285.51210519119826</v>
      </c>
      <c r="C296" s="35">
        <v>239.66580908963036</v>
      </c>
      <c r="D296" s="35">
        <v>258.34882327019801</v>
      </c>
      <c r="E296" s="35">
        <v>296.32911953220503</v>
      </c>
      <c r="F296" s="35">
        <v>277.62721721921451</v>
      </c>
      <c r="G296" s="35">
        <v>282.57646168148835</v>
      </c>
      <c r="H296" s="35">
        <v>285.59176281032558</v>
      </c>
      <c r="I296" s="35">
        <v>313.23735008472471</v>
      </c>
      <c r="J296" s="35">
        <v>316.17711681436202</v>
      </c>
      <c r="K296" s="35">
        <v>336.56327831021412</v>
      </c>
      <c r="L296" s="35">
        <v>391.46748974148119</v>
      </c>
    </row>
    <row r="297" spans="1:12">
      <c r="A297" s="35">
        <v>227.99353718991219</v>
      </c>
      <c r="B297" s="35">
        <v>261.50945575923726</v>
      </c>
      <c r="C297" s="35">
        <v>237.52382023186362</v>
      </c>
      <c r="D297" s="35">
        <v>230.65195183000839</v>
      </c>
      <c r="E297" s="35">
        <v>261.09917954499031</v>
      </c>
      <c r="F297" s="35">
        <v>236.73882264960395</v>
      </c>
      <c r="G297" s="35">
        <v>247.62100921664501</v>
      </c>
      <c r="H297" s="35">
        <v>258.47130349692162</v>
      </c>
      <c r="I297" s="35">
        <v>286.95497749195727</v>
      </c>
      <c r="J297" s="35">
        <v>303.08061006436054</v>
      </c>
      <c r="K297" s="35">
        <v>309.60059806265951</v>
      </c>
      <c r="L297" s="35">
        <v>359.59406966676943</v>
      </c>
    </row>
    <row r="298" spans="1:12">
      <c r="A298" s="35">
        <v>243.5753930241352</v>
      </c>
      <c r="B298" s="35">
        <v>276.06920489146421</v>
      </c>
      <c r="C298" s="35">
        <v>239.57345200269893</v>
      </c>
      <c r="D298" s="35">
        <v>226.33107884283112</v>
      </c>
      <c r="E298" s="35">
        <v>264.90535706337158</v>
      </c>
      <c r="F298" s="35">
        <v>239.01714419227113</v>
      </c>
      <c r="G298" s="35">
        <v>224.89717852356401</v>
      </c>
      <c r="H298" s="35">
        <v>225.94298531805197</v>
      </c>
      <c r="I298" s="35">
        <v>225.80970353675295</v>
      </c>
      <c r="J298" s="35">
        <v>248.48119553311378</v>
      </c>
      <c r="K298" s="35">
        <v>261.44460788146847</v>
      </c>
      <c r="L298" s="35">
        <v>283.51494185489042</v>
      </c>
    </row>
    <row r="299" spans="1:12">
      <c r="A299" s="35">
        <v>253.73685441731061</v>
      </c>
      <c r="B299" s="35">
        <v>287.8425286946308</v>
      </c>
      <c r="C299" s="35">
        <v>254.80589433014825</v>
      </c>
      <c r="D299" s="35">
        <v>256.97826038677255</v>
      </c>
      <c r="E299" s="35">
        <v>313.41901737878192</v>
      </c>
      <c r="F299" s="35">
        <v>263.04416201618142</v>
      </c>
      <c r="G299" s="35">
        <v>281.00800200260176</v>
      </c>
      <c r="H299" s="35">
        <v>288.86999066957731</v>
      </c>
      <c r="I299" s="35">
        <v>313.40376177423758</v>
      </c>
      <c r="J299" s="35">
        <v>332.03567592725722</v>
      </c>
      <c r="K299" s="35">
        <v>351.79764223514763</v>
      </c>
      <c r="L299" s="35">
        <v>426.03404673440525</v>
      </c>
    </row>
    <row r="300" spans="1:12">
      <c r="A300" s="35">
        <v>258.67143706385292</v>
      </c>
      <c r="B300" s="35">
        <v>268.85028313441643</v>
      </c>
      <c r="C300" s="35">
        <v>223.74728966510969</v>
      </c>
      <c r="D300" s="35">
        <v>251.68013763480698</v>
      </c>
      <c r="E300" s="35">
        <v>294.3719694538139</v>
      </c>
      <c r="F300" s="35">
        <v>266.40621885054509</v>
      </c>
      <c r="G300" s="35">
        <v>286.14839153767059</v>
      </c>
      <c r="H300" s="35">
        <v>275.91818694789316</v>
      </c>
      <c r="I300" s="35">
        <v>321.98811373836531</v>
      </c>
      <c r="J300" s="35">
        <v>323.22930845868626</v>
      </c>
      <c r="K300" s="35">
        <v>332.27976378713527</v>
      </c>
      <c r="L300" s="35">
        <v>401.93744598900923</v>
      </c>
    </row>
    <row r="301" spans="1:12">
      <c r="A301" s="35">
        <v>243.9683249749807</v>
      </c>
      <c r="B301" s="35">
        <v>244.77449377553253</v>
      </c>
      <c r="C301" s="35">
        <v>248.99748905130863</v>
      </c>
      <c r="D301" s="35">
        <v>237.99514011207873</v>
      </c>
      <c r="E301" s="35">
        <v>270.72263074942362</v>
      </c>
      <c r="F301" s="35">
        <v>269.57635811294983</v>
      </c>
      <c r="G301" s="35">
        <v>265.48227475577227</v>
      </c>
      <c r="H301" s="35">
        <v>278.51474912902273</v>
      </c>
      <c r="I301" s="35">
        <v>299.05529195696266</v>
      </c>
      <c r="J301" s="35">
        <v>313.07921997495737</v>
      </c>
      <c r="K301" s="35">
        <v>327.1192575456422</v>
      </c>
      <c r="L301" s="35">
        <v>391.31441455508877</v>
      </c>
    </row>
    <row r="302" spans="1:12">
      <c r="A302" s="35">
        <v>230.10815981022256</v>
      </c>
      <c r="B302" s="35">
        <v>251.22114464354624</v>
      </c>
      <c r="C302" s="35">
        <v>222.38324082322794</v>
      </c>
      <c r="D302" s="35">
        <v>220.43997399310709</v>
      </c>
      <c r="E302" s="35">
        <v>254.50923160266726</v>
      </c>
      <c r="F302" s="35">
        <v>211.06841829516543</v>
      </c>
      <c r="G302" s="35">
        <v>231.61269408828161</v>
      </c>
      <c r="H302" s="35">
        <v>235.52101921807937</v>
      </c>
      <c r="I302" s="35">
        <v>240.70656055872075</v>
      </c>
      <c r="J302" s="35">
        <v>251.82996479526491</v>
      </c>
      <c r="K302" s="35">
        <v>279.27699584138742</v>
      </c>
      <c r="L302" s="35">
        <v>298.8655997368673</v>
      </c>
    </row>
    <row r="303" spans="1:12">
      <c r="A303" s="35">
        <v>240.56355993192761</v>
      </c>
      <c r="B303" s="35">
        <v>252.95854596978185</v>
      </c>
      <c r="C303" s="35">
        <v>214.88104506224778</v>
      </c>
      <c r="D303" s="35">
        <v>248.31442983174549</v>
      </c>
      <c r="E303" s="35">
        <v>261.46752090845609</v>
      </c>
      <c r="F303" s="35">
        <v>238.35412513440841</v>
      </c>
      <c r="G303" s="35">
        <v>247.30028665976189</v>
      </c>
      <c r="H303" s="35">
        <v>256.44757128977369</v>
      </c>
      <c r="I303" s="35">
        <v>285.25299284049288</v>
      </c>
      <c r="J303" s="35">
        <v>283.28835221524213</v>
      </c>
      <c r="K303" s="35">
        <v>302.92024814998507</v>
      </c>
      <c r="L303" s="35">
        <v>367.7731026567098</v>
      </c>
    </row>
    <row r="304" spans="1:12">
      <c r="A304" s="35">
        <v>238.18386654329362</v>
      </c>
      <c r="B304" s="35">
        <v>246.54247260865071</v>
      </c>
      <c r="C304" s="35">
        <v>234.40302087362153</v>
      </c>
      <c r="D304" s="35">
        <v>243.37304923191141</v>
      </c>
      <c r="E304" s="35">
        <v>275.71504451919543</v>
      </c>
      <c r="F304" s="35">
        <v>259.32307206278324</v>
      </c>
      <c r="G304" s="35">
        <v>268.33579351179623</v>
      </c>
      <c r="H304" s="35">
        <v>277.74542004539632</v>
      </c>
      <c r="I304" s="35">
        <v>290.16929358505996</v>
      </c>
      <c r="J304" s="35">
        <v>297.92319182049647</v>
      </c>
      <c r="K304" s="35">
        <v>324.03896254991184</v>
      </c>
      <c r="L304" s="35">
        <v>385.53807020517621</v>
      </c>
    </row>
    <row r="305" spans="1:12">
      <c r="A305" s="35">
        <v>236.71047583864561</v>
      </c>
      <c r="B305" s="35">
        <v>272.10243061542565</v>
      </c>
      <c r="C305" s="35">
        <v>243.85672117708688</v>
      </c>
      <c r="D305" s="35">
        <v>241.11510899089322</v>
      </c>
      <c r="E305" s="35">
        <v>297.31196529728118</v>
      </c>
      <c r="F305" s="35">
        <v>242.30202453105784</v>
      </c>
      <c r="G305" s="35">
        <v>255.43169746683827</v>
      </c>
      <c r="H305" s="35">
        <v>245.4555318696502</v>
      </c>
      <c r="I305" s="35">
        <v>280.68356051498284</v>
      </c>
      <c r="J305" s="35">
        <v>300.4490357339921</v>
      </c>
      <c r="K305" s="35">
        <v>315.66574894892705</v>
      </c>
      <c r="L305" s="35">
        <v>373.87348617567147</v>
      </c>
    </row>
    <row r="306" spans="1:12">
      <c r="A306" s="35">
        <v>247.17492892173587</v>
      </c>
      <c r="B306" s="35">
        <v>266.98375844162945</v>
      </c>
      <c r="C306" s="35">
        <v>255.02517545563376</v>
      </c>
      <c r="D306" s="35">
        <v>254.4441202061378</v>
      </c>
      <c r="E306" s="35">
        <v>289.34772150584166</v>
      </c>
      <c r="F306" s="35">
        <v>266.60086945348314</v>
      </c>
      <c r="G306" s="35">
        <v>269.3551176539072</v>
      </c>
      <c r="H306" s="35">
        <v>281.16986317465</v>
      </c>
      <c r="I306" s="35">
        <v>294.16397350817743</v>
      </c>
      <c r="J306" s="35">
        <v>308.57610618425934</v>
      </c>
      <c r="K306" s="35">
        <v>320.03544014884466</v>
      </c>
      <c r="L306" s="35">
        <v>409.9213337429149</v>
      </c>
    </row>
    <row r="307" spans="1:12">
      <c r="A307" s="35">
        <v>253.10772503738366</v>
      </c>
      <c r="B307" s="35">
        <v>265.44373421158781</v>
      </c>
      <c r="C307" s="35">
        <v>250.94955386086605</v>
      </c>
      <c r="D307" s="35">
        <v>251.62336951178963</v>
      </c>
      <c r="E307" s="35">
        <v>288.91663418702251</v>
      </c>
      <c r="F307" s="35">
        <v>259.00899072837103</v>
      </c>
      <c r="G307" s="35">
        <v>273.3078537859887</v>
      </c>
      <c r="H307" s="35">
        <v>276.64555752569476</v>
      </c>
      <c r="I307" s="35">
        <v>297.15123600090698</v>
      </c>
      <c r="J307" s="35">
        <v>307.61521843118317</v>
      </c>
      <c r="K307" s="35">
        <v>328.68890150648286</v>
      </c>
      <c r="L307" s="35">
        <v>389.92742692016714</v>
      </c>
    </row>
    <row r="308" spans="1:12">
      <c r="A308" s="35">
        <v>258.12367427601305</v>
      </c>
      <c r="B308" s="35">
        <v>259.38173580362087</v>
      </c>
      <c r="C308" s="35">
        <v>244.64871417251081</v>
      </c>
      <c r="D308" s="35">
        <v>246.97063250331607</v>
      </c>
      <c r="E308" s="35">
        <v>265.6870785318165</v>
      </c>
      <c r="F308" s="35">
        <v>237.78877884113638</v>
      </c>
      <c r="G308" s="35">
        <v>290.08396829636382</v>
      </c>
      <c r="H308" s="35">
        <v>264.72077702524706</v>
      </c>
      <c r="I308" s="35">
        <v>273.64891900674911</v>
      </c>
      <c r="J308" s="35">
        <v>301.99958638393355</v>
      </c>
      <c r="K308" s="35">
        <v>291.11243927386113</v>
      </c>
      <c r="L308" s="35">
        <v>369.53842733160513</v>
      </c>
    </row>
    <row r="309" spans="1:12">
      <c r="A309" s="35">
        <v>229.20128784045463</v>
      </c>
      <c r="B309" s="35">
        <v>248.0533403020946</v>
      </c>
      <c r="C309" s="35">
        <v>229.4057000429344</v>
      </c>
      <c r="D309" s="35">
        <v>218.93767745466016</v>
      </c>
      <c r="E309" s="35">
        <v>255.41329381923231</v>
      </c>
      <c r="F309" s="35">
        <v>225.87868775263689</v>
      </c>
      <c r="G309" s="35">
        <v>230.60033459904062</v>
      </c>
      <c r="H309" s="35">
        <v>220.22159581155961</v>
      </c>
      <c r="I309" s="35">
        <v>241.09846661922768</v>
      </c>
      <c r="J309" s="35">
        <v>256.40053746761441</v>
      </c>
      <c r="K309" s="35">
        <v>284.78557352713381</v>
      </c>
      <c r="L309" s="35">
        <v>321.59400654790267</v>
      </c>
    </row>
    <row r="310" spans="1:12">
      <c r="A310" s="35">
        <v>258.73346407676752</v>
      </c>
      <c r="B310" s="35">
        <v>261.62029737684338</v>
      </c>
      <c r="C310" s="35">
        <v>237.08090458973592</v>
      </c>
      <c r="D310" s="35">
        <v>240.01720032731967</v>
      </c>
      <c r="E310" s="35">
        <v>300.23049008655744</v>
      </c>
      <c r="F310" s="35">
        <v>256.2336062974299</v>
      </c>
      <c r="G310" s="35">
        <v>274.73253067931165</v>
      </c>
      <c r="H310" s="35">
        <v>261.89356293739593</v>
      </c>
      <c r="I310" s="35">
        <v>318.74338722551983</v>
      </c>
      <c r="J310" s="35">
        <v>337.83640971528888</v>
      </c>
      <c r="K310" s="35">
        <v>334.30468598193914</v>
      </c>
      <c r="L310" s="35">
        <v>401.26816833783454</v>
      </c>
    </row>
    <row r="311" spans="1:12">
      <c r="A311" s="35">
        <v>243.25784308246105</v>
      </c>
      <c r="B311" s="35">
        <v>263.24539094429753</v>
      </c>
      <c r="C311" s="35">
        <v>254.23339589280968</v>
      </c>
      <c r="D311" s="35">
        <v>250.04152080965389</v>
      </c>
      <c r="E311" s="35">
        <v>288.20087868990902</v>
      </c>
      <c r="F311" s="35">
        <v>259.82707795360511</v>
      </c>
      <c r="G311" s="35">
        <v>282.93355256256041</v>
      </c>
      <c r="H311" s="35">
        <v>283.65838062488228</v>
      </c>
      <c r="I311" s="35">
        <v>301.10287401359619</v>
      </c>
      <c r="J311" s="35">
        <v>324.65923819974807</v>
      </c>
      <c r="K311" s="35">
        <v>331.93722228018373</v>
      </c>
      <c r="L311" s="35">
        <v>395.24378623039405</v>
      </c>
    </row>
    <row r="312" spans="1:12">
      <c r="A312" s="35">
        <v>259.59580227472463</v>
      </c>
      <c r="B312" s="35">
        <v>273.08799590450309</v>
      </c>
      <c r="C312" s="35">
        <v>240.05807457662863</v>
      </c>
      <c r="D312" s="35">
        <v>249.17470554300658</v>
      </c>
      <c r="E312" s="35">
        <v>300.30245385533618</v>
      </c>
      <c r="F312" s="35">
        <v>259.33317016700619</v>
      </c>
      <c r="G312" s="35">
        <v>267.47167204659621</v>
      </c>
      <c r="H312" s="35">
        <v>275.26323331815041</v>
      </c>
      <c r="I312" s="35">
        <v>298.70404269366389</v>
      </c>
      <c r="J312" s="35">
        <v>336.01747177503142</v>
      </c>
      <c r="K312" s="35">
        <v>334.3406961928539</v>
      </c>
      <c r="L312" s="35">
        <v>384.53116227991086</v>
      </c>
    </row>
    <row r="313" spans="1:12">
      <c r="A313" s="35">
        <v>239.80867757945202</v>
      </c>
      <c r="B313" s="35">
        <v>268.35276826019555</v>
      </c>
      <c r="C313" s="35">
        <v>240.70445207709543</v>
      </c>
      <c r="D313" s="35">
        <v>243.26464468355118</v>
      </c>
      <c r="E313" s="35">
        <v>289.51111694839966</v>
      </c>
      <c r="F313" s="35">
        <v>238.0705173133004</v>
      </c>
      <c r="G313" s="35">
        <v>259.88528907376224</v>
      </c>
      <c r="H313" s="35">
        <v>253.63460958527102</v>
      </c>
      <c r="I313" s="35">
        <v>293.7856372103534</v>
      </c>
      <c r="J313" s="35">
        <v>278.35922899751716</v>
      </c>
      <c r="K313" s="35">
        <v>283.58946415754019</v>
      </c>
      <c r="L313" s="35">
        <v>340.56312103880867</v>
      </c>
    </row>
    <row r="314" spans="1:12">
      <c r="A314" s="35">
        <v>247.13002205490577</v>
      </c>
      <c r="B314" s="35">
        <v>270.13319536100221</v>
      </c>
      <c r="C314" s="35">
        <v>239.50687899886631</v>
      </c>
      <c r="D314" s="35">
        <v>250.463697426279</v>
      </c>
      <c r="E314" s="35">
        <v>278.48870385344316</v>
      </c>
      <c r="F314" s="35">
        <v>232.7449369334864</v>
      </c>
      <c r="G314" s="35">
        <v>256.884233622853</v>
      </c>
      <c r="H314" s="35">
        <v>253.8747383291614</v>
      </c>
      <c r="I314" s="35">
        <v>290.40409841323066</v>
      </c>
      <c r="J314" s="35">
        <v>283.39521435869045</v>
      </c>
      <c r="K314" s="35">
        <v>286.28178006849959</v>
      </c>
      <c r="L314" s="35">
        <v>335.70534670744024</v>
      </c>
    </row>
    <row r="315" spans="1:12">
      <c r="A315" s="35">
        <v>238.07013759916941</v>
      </c>
      <c r="B315" s="35">
        <v>241.37827878989941</v>
      </c>
      <c r="C315" s="35">
        <v>242.04063255193705</v>
      </c>
      <c r="D315" s="35">
        <v>240.46653356029671</v>
      </c>
      <c r="E315" s="35">
        <v>282.64616200689773</v>
      </c>
      <c r="F315" s="35">
        <v>242.16696899118588</v>
      </c>
      <c r="G315" s="35">
        <v>263.01536622213104</v>
      </c>
      <c r="H315" s="35">
        <v>274.8022594881017</v>
      </c>
      <c r="I315" s="35">
        <v>299.55485497502917</v>
      </c>
      <c r="J315" s="35">
        <v>299.45963336952167</v>
      </c>
      <c r="K315" s="35">
        <v>332.41585682905293</v>
      </c>
      <c r="L315" s="35">
        <v>372.80055949901543</v>
      </c>
    </row>
    <row r="316" spans="1:12">
      <c r="A316" s="35">
        <v>243.53070784590682</v>
      </c>
      <c r="B316" s="35">
        <v>254.49711267807191</v>
      </c>
      <c r="C316" s="35">
        <v>244.61172047248959</v>
      </c>
      <c r="D316" s="35">
        <v>245.31550600687257</v>
      </c>
      <c r="E316" s="35">
        <v>290.47261583216186</v>
      </c>
      <c r="F316" s="35">
        <v>264.15855309108758</v>
      </c>
      <c r="G316" s="35">
        <v>260.88599239771332</v>
      </c>
      <c r="H316" s="35">
        <v>272.22594886546847</v>
      </c>
      <c r="I316" s="35">
        <v>295.32027416178062</v>
      </c>
      <c r="J316" s="35">
        <v>322.97297505500893</v>
      </c>
      <c r="K316" s="35">
        <v>338.31275620053128</v>
      </c>
      <c r="L316" s="35">
        <v>398.26021962902786</v>
      </c>
    </row>
    <row r="317" spans="1:12">
      <c r="A317" s="35">
        <v>250.46967968080483</v>
      </c>
      <c r="B317" s="35">
        <v>262.41083537745629</v>
      </c>
      <c r="C317" s="35">
        <v>213.53738010059141</v>
      </c>
      <c r="D317" s="35">
        <v>245.43556120781784</v>
      </c>
      <c r="E317" s="35">
        <v>268.22526717408454</v>
      </c>
      <c r="F317" s="35">
        <v>239.58172464062866</v>
      </c>
      <c r="G317" s="35">
        <v>237.97364616175815</v>
      </c>
      <c r="H317" s="35">
        <v>248.0426522362273</v>
      </c>
      <c r="I317" s="35">
        <v>256.67739359845785</v>
      </c>
      <c r="J317" s="35">
        <v>283.68882531959628</v>
      </c>
      <c r="K317" s="35">
        <v>283.36199110529571</v>
      </c>
      <c r="L317" s="35">
        <v>335.66030264042053</v>
      </c>
    </row>
    <row r="318" spans="1:12">
      <c r="A318" s="35">
        <v>227.56658712042844</v>
      </c>
      <c r="B318" s="35">
        <v>250.8937842304326</v>
      </c>
      <c r="C318" s="35">
        <v>222.9334440563162</v>
      </c>
      <c r="D318" s="35">
        <v>218.18263054156259</v>
      </c>
      <c r="E318" s="35">
        <v>268.51605457240601</v>
      </c>
      <c r="F318" s="35">
        <v>227.61039018081536</v>
      </c>
      <c r="G318" s="35">
        <v>250.02210890183244</v>
      </c>
      <c r="H318" s="35">
        <v>257.97585187535589</v>
      </c>
      <c r="I318" s="35">
        <v>266.91087774449989</v>
      </c>
      <c r="J318" s="35">
        <v>291.63265875683942</v>
      </c>
      <c r="K318" s="35">
        <v>301.64820739808096</v>
      </c>
      <c r="L318" s="35">
        <v>361.13916650342725</v>
      </c>
    </row>
    <row r="319" spans="1:12">
      <c r="A319" s="35">
        <v>250.84909989183419</v>
      </c>
      <c r="B319" s="35">
        <v>248.48489867120423</v>
      </c>
      <c r="C319" s="35">
        <v>229.14772675636024</v>
      </c>
      <c r="D319" s="35">
        <v>264.01038953500421</v>
      </c>
      <c r="E319" s="35">
        <v>290.53427598123841</v>
      </c>
      <c r="F319" s="35">
        <v>254.20646620498607</v>
      </c>
      <c r="G319" s="35">
        <v>269.05167044015241</v>
      </c>
      <c r="H319" s="35">
        <v>277.87623609825317</v>
      </c>
      <c r="I319" s="35">
        <v>312.79517527116121</v>
      </c>
      <c r="J319" s="35">
        <v>305.73839868004643</v>
      </c>
      <c r="K319" s="35">
        <v>348.26938395019147</v>
      </c>
      <c r="L319" s="35">
        <v>401.36199540465611</v>
      </c>
    </row>
    <row r="320" spans="1:12">
      <c r="A320" s="35">
        <v>243.77945353851013</v>
      </c>
      <c r="B320" s="35">
        <v>264.68327151087988</v>
      </c>
      <c r="C320" s="35">
        <v>249.11908801430246</v>
      </c>
      <c r="D320" s="35">
        <v>253.34671654285543</v>
      </c>
      <c r="E320" s="35">
        <v>294.2832765734023</v>
      </c>
      <c r="F320" s="35">
        <v>273.02184811123641</v>
      </c>
      <c r="G320" s="35">
        <v>268.03887490131689</v>
      </c>
      <c r="H320" s="35">
        <v>294.45170073915108</v>
      </c>
      <c r="I320" s="35">
        <v>321.81506821827054</v>
      </c>
      <c r="J320" s="35">
        <v>331.16985645464416</v>
      </c>
      <c r="K320" s="35">
        <v>361.50493918556617</v>
      </c>
      <c r="L320" s="35">
        <v>420.43672835368409</v>
      </c>
    </row>
    <row r="321" spans="1:12">
      <c r="A321" s="35">
        <v>239.63171732422586</v>
      </c>
      <c r="B321" s="35">
        <v>268.34798724636499</v>
      </c>
      <c r="C321" s="35">
        <v>238.72810000498671</v>
      </c>
      <c r="D321" s="35">
        <v>240.69976107890469</v>
      </c>
      <c r="E321" s="35">
        <v>283.93075229074822</v>
      </c>
      <c r="F321" s="35">
        <v>264.05338290203468</v>
      </c>
      <c r="G321" s="35">
        <v>264.61297504139674</v>
      </c>
      <c r="H321" s="35">
        <v>257.78993063228324</v>
      </c>
      <c r="I321" s="35">
        <v>291.34216502545388</v>
      </c>
      <c r="J321" s="35">
        <v>298.87182347171961</v>
      </c>
      <c r="K321" s="35">
        <v>323.5991048893419</v>
      </c>
      <c r="L321" s="35">
        <v>363.85530196565867</v>
      </c>
    </row>
    <row r="322" spans="1:12">
      <c r="A322" s="35">
        <v>235.90965283828697</v>
      </c>
      <c r="B322" s="35">
        <v>262.9225836459471</v>
      </c>
      <c r="C322" s="35">
        <v>240.74864741344973</v>
      </c>
      <c r="D322" s="35">
        <v>227.88025749477049</v>
      </c>
      <c r="E322" s="35">
        <v>277.0676682762786</v>
      </c>
      <c r="F322" s="35">
        <v>252.72272813894293</v>
      </c>
      <c r="G322" s="35">
        <v>249.61777375920329</v>
      </c>
      <c r="H322" s="35">
        <v>275.97535820620146</v>
      </c>
      <c r="I322" s="35">
        <v>275.54953221565842</v>
      </c>
      <c r="J322" s="35">
        <v>289.20979102173868</v>
      </c>
      <c r="K322" s="35">
        <v>315.14113970594673</v>
      </c>
      <c r="L322" s="35">
        <v>373.54882274414246</v>
      </c>
    </row>
    <row r="323" spans="1:12">
      <c r="A323" s="35">
        <v>249.43540688334036</v>
      </c>
      <c r="B323" s="35">
        <v>269.88222531109034</v>
      </c>
      <c r="C323" s="35">
        <v>240.21478108087584</v>
      </c>
      <c r="D323" s="35">
        <v>251.60841686845632</v>
      </c>
      <c r="E323" s="35">
        <v>302.43120602274161</v>
      </c>
      <c r="F323" s="35">
        <v>247.93499277380067</v>
      </c>
      <c r="G323" s="35">
        <v>278.9917428199692</v>
      </c>
      <c r="H323" s="35">
        <v>279.31194768188504</v>
      </c>
      <c r="I323" s="35">
        <v>306.19837987852486</v>
      </c>
      <c r="J323" s="35">
        <v>322.2283722078422</v>
      </c>
      <c r="K323" s="35">
        <v>322.99139363508846</v>
      </c>
      <c r="L323" s="35">
        <v>414.24889933090424</v>
      </c>
    </row>
    <row r="324" spans="1:12">
      <c r="A324" s="35">
        <v>252.61217033964107</v>
      </c>
      <c r="B324" s="35">
        <v>264.90828726643559</v>
      </c>
      <c r="C324" s="35">
        <v>245.08687404955114</v>
      </c>
      <c r="D324" s="35">
        <v>242.68644183453509</v>
      </c>
      <c r="E324" s="35">
        <v>265.58916777048603</v>
      </c>
      <c r="F324" s="35">
        <v>259.46574372032183</v>
      </c>
      <c r="G324" s="35">
        <v>258.8824720920004</v>
      </c>
      <c r="H324" s="35">
        <v>247.79508275672666</v>
      </c>
      <c r="I324" s="35">
        <v>278.41208994882106</v>
      </c>
      <c r="J324" s="35">
        <v>291.05685743111519</v>
      </c>
      <c r="K324" s="35">
        <v>320.00246796184581</v>
      </c>
      <c r="L324" s="35">
        <v>372.44272585797017</v>
      </c>
    </row>
    <row r="325" spans="1:12">
      <c r="A325" s="35">
        <v>258.43593155742354</v>
      </c>
      <c r="B325" s="35">
        <v>271.73471414739743</v>
      </c>
      <c r="C325" s="35">
        <v>243.52683650252359</v>
      </c>
      <c r="D325" s="35">
        <v>249.16496928741645</v>
      </c>
      <c r="E325" s="35">
        <v>292.22456886029477</v>
      </c>
      <c r="F325" s="35">
        <v>266.64689206244003</v>
      </c>
      <c r="G325" s="35">
        <v>269.52544532376191</v>
      </c>
      <c r="H325" s="35">
        <v>276.4918490088217</v>
      </c>
      <c r="I325" s="35">
        <v>292.49323878431824</v>
      </c>
      <c r="J325" s="35">
        <v>328.64482572774227</v>
      </c>
      <c r="K325" s="35">
        <v>338.81336225491293</v>
      </c>
      <c r="L325" s="35">
        <v>396.90834252639087</v>
      </c>
    </row>
    <row r="326" spans="1:12">
      <c r="A326" s="35">
        <v>242.33996032397505</v>
      </c>
      <c r="B326" s="35">
        <v>250.4140341929087</v>
      </c>
      <c r="C326" s="35">
        <v>219.57498229579883</v>
      </c>
      <c r="D326" s="35">
        <v>232.94053393152899</v>
      </c>
      <c r="E326" s="35">
        <v>258.65280101787664</v>
      </c>
      <c r="F326" s="35">
        <v>229.65128830655038</v>
      </c>
      <c r="G326" s="35">
        <v>221.7576629691257</v>
      </c>
      <c r="H326" s="35">
        <v>241.21783660511989</v>
      </c>
      <c r="I326" s="35">
        <v>243.89407669588311</v>
      </c>
      <c r="J326" s="35">
        <v>273.96736689657934</v>
      </c>
      <c r="K326" s="35">
        <v>282.90344687221244</v>
      </c>
      <c r="L326" s="35">
        <v>307.82916825048761</v>
      </c>
    </row>
    <row r="327" spans="1:12">
      <c r="A327" s="35">
        <v>239.79916604685798</v>
      </c>
      <c r="B327" s="35">
        <v>255.82580117518052</v>
      </c>
      <c r="C327" s="35">
        <v>231.23366641282021</v>
      </c>
      <c r="D327" s="35">
        <v>237.11743995636519</v>
      </c>
      <c r="E327" s="35">
        <v>276.39154880399258</v>
      </c>
      <c r="F327" s="35">
        <v>249.58321834229127</v>
      </c>
      <c r="G327" s="35">
        <v>269.28982614102205</v>
      </c>
      <c r="H327" s="35">
        <v>265.86410070273058</v>
      </c>
      <c r="I327" s="35">
        <v>281.73076827663823</v>
      </c>
      <c r="J327" s="35">
        <v>293.49592751749952</v>
      </c>
      <c r="K327" s="35">
        <v>316.93029756164555</v>
      </c>
      <c r="L327" s="35">
        <v>380.35714154245676</v>
      </c>
    </row>
    <row r="328" spans="1:12">
      <c r="A328" s="35">
        <v>256.43540369140732</v>
      </c>
      <c r="B328" s="35">
        <v>282.05725618577225</v>
      </c>
      <c r="C328" s="35">
        <v>257.57449535789493</v>
      </c>
      <c r="D328" s="35">
        <v>273.3580119722742</v>
      </c>
      <c r="E328" s="35">
        <v>304.22346813239574</v>
      </c>
      <c r="F328" s="35">
        <v>292.76799986448617</v>
      </c>
      <c r="G328" s="35">
        <v>287.53530754216808</v>
      </c>
      <c r="H328" s="35">
        <v>310.39582558666041</v>
      </c>
      <c r="I328" s="35">
        <v>315.17444333748955</v>
      </c>
      <c r="J328" s="35">
        <v>359.62085784288291</v>
      </c>
      <c r="K328" s="35">
        <v>397.85770621558567</v>
      </c>
      <c r="L328" s="35">
        <v>456.04060220635336</v>
      </c>
    </row>
    <row r="329" spans="1:12">
      <c r="A329" s="35">
        <v>244.75177480549854</v>
      </c>
      <c r="B329" s="35">
        <v>251.58589289804064</v>
      </c>
      <c r="C329" s="35">
        <v>230.525799920362</v>
      </c>
      <c r="D329" s="35">
        <v>230.65327590291392</v>
      </c>
      <c r="E329" s="35">
        <v>285.64683233904526</v>
      </c>
      <c r="F329" s="35">
        <v>242.43163273660491</v>
      </c>
      <c r="G329" s="35">
        <v>261.04315198802476</v>
      </c>
      <c r="H329" s="35">
        <v>267.61218977036975</v>
      </c>
      <c r="I329" s="35">
        <v>287.18774250668031</v>
      </c>
      <c r="J329" s="35">
        <v>313.58767367816245</v>
      </c>
      <c r="K329" s="35">
        <v>319.26587122868119</v>
      </c>
      <c r="L329" s="35">
        <v>364.38439826480391</v>
      </c>
    </row>
    <row r="330" spans="1:12">
      <c r="A330" s="35">
        <v>238.77903035331153</v>
      </c>
      <c r="B330" s="35">
        <v>269.02588037427023</v>
      </c>
      <c r="C330" s="35">
        <v>245.93870958740061</v>
      </c>
      <c r="D330" s="35">
        <v>237.88408949968456</v>
      </c>
      <c r="E330" s="35">
        <v>280.3550067494707</v>
      </c>
      <c r="F330" s="35">
        <v>243.63802890332676</v>
      </c>
      <c r="G330" s="35">
        <v>258.3704756279634</v>
      </c>
      <c r="H330" s="35">
        <v>274.00696234395616</v>
      </c>
      <c r="I330" s="35">
        <v>292.18412065797668</v>
      </c>
      <c r="J330" s="35">
        <v>320.78186297395933</v>
      </c>
      <c r="K330" s="35">
        <v>321.67801422084136</v>
      </c>
      <c r="L330" s="35">
        <v>375.82690554333027</v>
      </c>
    </row>
    <row r="331" spans="1:12">
      <c r="A331" s="35">
        <v>271.82878195472017</v>
      </c>
      <c r="B331" s="35">
        <v>264.87354404366937</v>
      </c>
      <c r="C331" s="35">
        <v>262.91690032605197</v>
      </c>
      <c r="D331" s="35">
        <v>247.0239892123532</v>
      </c>
      <c r="E331" s="35">
        <v>299.53033440620584</v>
      </c>
      <c r="F331" s="35">
        <v>260.94728301912846</v>
      </c>
      <c r="G331" s="35">
        <v>250.90821786240338</v>
      </c>
      <c r="H331" s="35">
        <v>288.95971439547691</v>
      </c>
      <c r="I331" s="35">
        <v>306.37635266197299</v>
      </c>
      <c r="J331" s="35">
        <v>331.4121897144982</v>
      </c>
      <c r="K331" s="35">
        <v>325.79974453818295</v>
      </c>
      <c r="L331" s="35">
        <v>375.49486598293458</v>
      </c>
    </row>
    <row r="332" spans="1:12">
      <c r="A332" s="35">
        <v>252.57905122905237</v>
      </c>
      <c r="B332" s="35">
        <v>272.66364758464834</v>
      </c>
      <c r="C332" s="35">
        <v>248.42450562244528</v>
      </c>
      <c r="D332" s="35">
        <v>241.39649297158007</v>
      </c>
      <c r="E332" s="35">
        <v>272.94275476828363</v>
      </c>
      <c r="F332" s="35">
        <v>253.53849135371087</v>
      </c>
      <c r="G332" s="35">
        <v>269.08273465891989</v>
      </c>
      <c r="H332" s="35">
        <v>267.40157853048078</v>
      </c>
      <c r="I332" s="35">
        <v>283.75096921671076</v>
      </c>
      <c r="J332" s="35">
        <v>312.93556211585991</v>
      </c>
      <c r="K332" s="35">
        <v>333.53259025421949</v>
      </c>
      <c r="L332" s="35">
        <v>402.40451070633361</v>
      </c>
    </row>
    <row r="333" spans="1:12">
      <c r="A333" s="35">
        <v>258.89666409596015</v>
      </c>
      <c r="B333" s="35">
        <v>259.19835611073813</v>
      </c>
      <c r="C333" s="35">
        <v>238.39651190561739</v>
      </c>
      <c r="D333" s="35">
        <v>261.63961212445668</v>
      </c>
      <c r="E333" s="35">
        <v>301.70372346019298</v>
      </c>
      <c r="F333" s="35">
        <v>273.18896949925619</v>
      </c>
      <c r="G333" s="35">
        <v>277.0069007254973</v>
      </c>
      <c r="H333" s="35">
        <v>283.67942056347783</v>
      </c>
      <c r="I333" s="35">
        <v>313.66947157346942</v>
      </c>
      <c r="J333" s="35">
        <v>341.24302224985087</v>
      </c>
      <c r="K333" s="35">
        <v>357.4308106224529</v>
      </c>
      <c r="L333" s="35">
        <v>419.43849831983056</v>
      </c>
    </row>
    <row r="334" spans="1:12">
      <c r="A334" s="35">
        <v>238.96649644081791</v>
      </c>
      <c r="B334" s="35">
        <v>274.10351717263609</v>
      </c>
      <c r="C334" s="35">
        <v>246.37695718263592</v>
      </c>
      <c r="D334" s="35">
        <v>270.40879624344814</v>
      </c>
      <c r="E334" s="35">
        <v>304.57417667382015</v>
      </c>
      <c r="F334" s="35">
        <v>272.10107592128395</v>
      </c>
      <c r="G334" s="35">
        <v>279.42408843547736</v>
      </c>
      <c r="H334" s="35">
        <v>275.865091678233</v>
      </c>
      <c r="I334" s="35">
        <v>316.4543100732987</v>
      </c>
      <c r="J334" s="35">
        <v>344.94277395361735</v>
      </c>
      <c r="K334" s="35">
        <v>348.60403204113265</v>
      </c>
      <c r="L334" s="35">
        <v>412.06454739229906</v>
      </c>
    </row>
    <row r="335" spans="1:12">
      <c r="A335" s="35">
        <v>239.45062227736955</v>
      </c>
      <c r="B335" s="35">
        <v>245.71204878715588</v>
      </c>
      <c r="C335" s="35">
        <v>236.67719100823325</v>
      </c>
      <c r="D335" s="35">
        <v>232.82094110367305</v>
      </c>
      <c r="E335" s="35">
        <v>268.84150907246288</v>
      </c>
      <c r="F335" s="35">
        <v>233.79349089986826</v>
      </c>
      <c r="G335" s="35">
        <v>271.36306166682652</v>
      </c>
      <c r="H335" s="35">
        <v>255.00489081997603</v>
      </c>
      <c r="I335" s="35">
        <v>291.44445125764742</v>
      </c>
      <c r="J335" s="35">
        <v>287.53820545171243</v>
      </c>
      <c r="K335" s="35">
        <v>306.76100502682272</v>
      </c>
      <c r="L335" s="35">
        <v>347.80572214588477</v>
      </c>
    </row>
    <row r="336" spans="1:12">
      <c r="A336" s="35">
        <v>249.34763808012679</v>
      </c>
      <c r="B336" s="35">
        <v>272.43261090445816</v>
      </c>
      <c r="C336" s="35">
        <v>263.76126417670315</v>
      </c>
      <c r="D336" s="35">
        <v>242.37119709608749</v>
      </c>
      <c r="E336" s="35">
        <v>283.38880215210861</v>
      </c>
      <c r="F336" s="35">
        <v>261.73314643046791</v>
      </c>
      <c r="G336" s="35">
        <v>273.02677188695196</v>
      </c>
      <c r="H336" s="35">
        <v>283.25275291143032</v>
      </c>
      <c r="I336" s="35">
        <v>305.19087265790461</v>
      </c>
      <c r="J336" s="35">
        <v>334.2122736657887</v>
      </c>
      <c r="K336" s="35">
        <v>352.42410099376235</v>
      </c>
      <c r="L336" s="35">
        <v>404.93576285135242</v>
      </c>
    </row>
    <row r="337" spans="1:12">
      <c r="A337" s="35">
        <v>244.47941985653986</v>
      </c>
      <c r="B337" s="35">
        <v>256.11105005264437</v>
      </c>
      <c r="C337" s="35">
        <v>243.29326686108442</v>
      </c>
      <c r="D337" s="35">
        <v>248.39219906414235</v>
      </c>
      <c r="E337" s="35">
        <v>287.59897353712472</v>
      </c>
      <c r="F337" s="35">
        <v>248.66368414280953</v>
      </c>
      <c r="G337" s="35">
        <v>244.55967909100792</v>
      </c>
      <c r="H337" s="35">
        <v>246.79415119306248</v>
      </c>
      <c r="I337" s="35">
        <v>272.57211445480596</v>
      </c>
      <c r="J337" s="35">
        <v>274.9409589697911</v>
      </c>
      <c r="K337" s="35">
        <v>290.16525656933169</v>
      </c>
      <c r="L337" s="35">
        <v>347.79814970920404</v>
      </c>
    </row>
    <row r="338" spans="1:12">
      <c r="A338" s="35">
        <v>256.5619880127328</v>
      </c>
      <c r="B338" s="35">
        <v>274.30063771694506</v>
      </c>
      <c r="C338" s="35">
        <v>254.83611151735983</v>
      </c>
      <c r="D338" s="35">
        <v>243.97724236821171</v>
      </c>
      <c r="E338" s="35">
        <v>302.30200322045022</v>
      </c>
      <c r="F338" s="35">
        <v>279.83514556766318</v>
      </c>
      <c r="G338" s="35">
        <v>267.99036142272411</v>
      </c>
      <c r="H338" s="35">
        <v>292.12702198606968</v>
      </c>
      <c r="I338" s="35">
        <v>300.09653092879773</v>
      </c>
      <c r="J338" s="35">
        <v>335.35601752224221</v>
      </c>
      <c r="K338" s="35">
        <v>344.07227129969004</v>
      </c>
      <c r="L338" s="35">
        <v>414.64507634053979</v>
      </c>
    </row>
    <row r="339" spans="1:12">
      <c r="A339" s="35">
        <v>245.69206819770895</v>
      </c>
      <c r="B339" s="35">
        <v>277.73597714214219</v>
      </c>
      <c r="C339" s="35">
        <v>240.94038634271382</v>
      </c>
      <c r="D339" s="35">
        <v>250.29257272204683</v>
      </c>
      <c r="E339" s="35">
        <v>294.8917099401263</v>
      </c>
      <c r="F339" s="35">
        <v>249.41194972764231</v>
      </c>
      <c r="G339" s="35">
        <v>274.37496133490504</v>
      </c>
      <c r="H339" s="35">
        <v>269.54243233044821</v>
      </c>
      <c r="I339" s="35">
        <v>315.63131452900808</v>
      </c>
      <c r="J339" s="35">
        <v>328.27528092777789</v>
      </c>
      <c r="K339" s="35">
        <v>345.6863999537498</v>
      </c>
      <c r="L339" s="35">
        <v>415.46918394168841</v>
      </c>
    </row>
    <row r="340" spans="1:12">
      <c r="A340" s="35">
        <v>256.85510174135987</v>
      </c>
      <c r="B340" s="35">
        <v>267.77308657912573</v>
      </c>
      <c r="C340" s="35">
        <v>231.49418841263392</v>
      </c>
      <c r="D340" s="35">
        <v>232.62962563966022</v>
      </c>
      <c r="E340" s="35">
        <v>277.76809495623331</v>
      </c>
      <c r="F340" s="35">
        <v>239.41926520672479</v>
      </c>
      <c r="G340" s="35">
        <v>250.78706043069423</v>
      </c>
      <c r="H340" s="35">
        <v>258.74129974020695</v>
      </c>
      <c r="I340" s="35">
        <v>297.86769829644021</v>
      </c>
      <c r="J340" s="35">
        <v>270.67587606585471</v>
      </c>
      <c r="K340" s="35">
        <v>307.44083095720333</v>
      </c>
      <c r="L340" s="35">
        <v>359.59543983889904</v>
      </c>
    </row>
    <row r="341" spans="1:12">
      <c r="A341" s="35">
        <v>235.62462296743595</v>
      </c>
      <c r="B341" s="35">
        <v>253.96967219696526</v>
      </c>
      <c r="C341" s="35">
        <v>227.35956569846772</v>
      </c>
      <c r="D341" s="35">
        <v>220.5069347506346</v>
      </c>
      <c r="E341" s="35">
        <v>270.8584883703565</v>
      </c>
      <c r="F341" s="35">
        <v>231.13476191319282</v>
      </c>
      <c r="G341" s="35">
        <v>242.43140417677935</v>
      </c>
      <c r="H341" s="35">
        <v>229.20220580277118</v>
      </c>
      <c r="I341" s="35">
        <v>268.75456819555313</v>
      </c>
      <c r="J341" s="35">
        <v>257.60509740992046</v>
      </c>
      <c r="K341" s="35">
        <v>274.61199167700403</v>
      </c>
      <c r="L341" s="35">
        <v>314.65516954484849</v>
      </c>
    </row>
    <row r="342" spans="1:12">
      <c r="A342" s="35">
        <v>250.28291746268349</v>
      </c>
      <c r="B342" s="35">
        <v>275.52602399275406</v>
      </c>
      <c r="C342" s="35">
        <v>262.60665727971491</v>
      </c>
      <c r="D342" s="35">
        <v>268.89487875033825</v>
      </c>
      <c r="E342" s="35">
        <v>316.18247456053092</v>
      </c>
      <c r="F342" s="35">
        <v>287.52223918004898</v>
      </c>
      <c r="G342" s="35">
        <v>307.43404606712858</v>
      </c>
      <c r="H342" s="35">
        <v>297.80067951233502</v>
      </c>
      <c r="I342" s="35">
        <v>343.89498528440856</v>
      </c>
      <c r="J342" s="35">
        <v>361.16604654543664</v>
      </c>
      <c r="K342" s="35">
        <v>370.82607399979014</v>
      </c>
      <c r="L342" s="35">
        <v>463.21083738870794</v>
      </c>
    </row>
    <row r="343" spans="1:12">
      <c r="A343" s="35">
        <v>262.64237796211444</v>
      </c>
      <c r="B343" s="35">
        <v>271.70128996044008</v>
      </c>
      <c r="C343" s="35">
        <v>247.28759781993054</v>
      </c>
      <c r="D343" s="35">
        <v>252.19564448980722</v>
      </c>
      <c r="E343" s="35">
        <v>269.03915851202038</v>
      </c>
      <c r="F343" s="35">
        <v>248.78579767484806</v>
      </c>
      <c r="G343" s="35">
        <v>270.42236148435808</v>
      </c>
      <c r="H343" s="35">
        <v>276.40756496290885</v>
      </c>
      <c r="I343" s="35">
        <v>299.50251729824743</v>
      </c>
      <c r="J343" s="35">
        <v>325.8472966525419</v>
      </c>
      <c r="K343" s="35">
        <v>332.67538793899917</v>
      </c>
      <c r="L343" s="35">
        <v>392.15880351002153</v>
      </c>
    </row>
    <row r="344" spans="1:12">
      <c r="A344" s="35">
        <v>258.13357814269466</v>
      </c>
      <c r="B344" s="35">
        <v>262.82095714367102</v>
      </c>
      <c r="C344" s="35">
        <v>231.32879237529377</v>
      </c>
      <c r="D344" s="35">
        <v>240.46867671330318</v>
      </c>
      <c r="E344" s="35">
        <v>282.2858790577929</v>
      </c>
      <c r="F344" s="35">
        <v>243.11031656021254</v>
      </c>
      <c r="G344" s="35">
        <v>240.31705656140608</v>
      </c>
      <c r="H344" s="35">
        <v>246.4098847059507</v>
      </c>
      <c r="I344" s="35">
        <v>266.64602646947361</v>
      </c>
      <c r="J344" s="35">
        <v>283.13705944188206</v>
      </c>
      <c r="K344" s="35">
        <v>283.87046301544365</v>
      </c>
      <c r="L344" s="35">
        <v>332.3663150352628</v>
      </c>
    </row>
    <row r="345" spans="1:12">
      <c r="A345" s="35">
        <v>258.38784207252343</v>
      </c>
      <c r="B345" s="35">
        <v>257.52549599836277</v>
      </c>
      <c r="C345" s="35">
        <v>245.1284156009624</v>
      </c>
      <c r="D345" s="35">
        <v>253.39968940252587</v>
      </c>
      <c r="E345" s="35">
        <v>293.75102284674125</v>
      </c>
      <c r="F345" s="35">
        <v>266.23815225028898</v>
      </c>
      <c r="G345" s="35">
        <v>279.90450586647523</v>
      </c>
      <c r="H345" s="35">
        <v>272.69577872361265</v>
      </c>
      <c r="I345" s="35">
        <v>308.7645574925009</v>
      </c>
      <c r="J345" s="35">
        <v>339.43433133074763</v>
      </c>
      <c r="K345" s="35">
        <v>341.66285486476511</v>
      </c>
      <c r="L345" s="35">
        <v>404.35295250990566</v>
      </c>
    </row>
    <row r="346" spans="1:12">
      <c r="A346" s="35">
        <v>265.7668554390018</v>
      </c>
      <c r="B346" s="35">
        <v>268.29629543584571</v>
      </c>
      <c r="C346" s="35">
        <v>236.96863777052104</v>
      </c>
      <c r="D346" s="35">
        <v>251.65182417972139</v>
      </c>
      <c r="E346" s="35">
        <v>275.75820867748399</v>
      </c>
      <c r="F346" s="35">
        <v>255.51759395834756</v>
      </c>
      <c r="G346" s="35">
        <v>267.97988345984891</v>
      </c>
      <c r="H346" s="35">
        <v>291.59880949435563</v>
      </c>
      <c r="I346" s="35">
        <v>298.97339766132438</v>
      </c>
      <c r="J346" s="35">
        <v>334.51495510164426</v>
      </c>
      <c r="K346" s="35">
        <v>345.40662224604137</v>
      </c>
      <c r="L346" s="35">
        <v>408.45141750040182</v>
      </c>
    </row>
    <row r="347" spans="1:12">
      <c r="A347" s="35">
        <v>239.5579970931542</v>
      </c>
      <c r="B347" s="35">
        <v>270.65037260567919</v>
      </c>
      <c r="C347" s="35">
        <v>256.31746079442041</v>
      </c>
      <c r="D347" s="35">
        <v>239.49676150187753</v>
      </c>
      <c r="E347" s="35">
        <v>271.98122735471077</v>
      </c>
      <c r="F347" s="35">
        <v>241.44489611863304</v>
      </c>
      <c r="G347" s="35">
        <v>244.46954018233217</v>
      </c>
      <c r="H347" s="35">
        <v>244.43689426375619</v>
      </c>
      <c r="I347" s="35">
        <v>242.63110991808844</v>
      </c>
      <c r="J347" s="35">
        <v>269.25963465978811</v>
      </c>
      <c r="K347" s="35">
        <v>289.1059553983365</v>
      </c>
      <c r="L347" s="35">
        <v>312.42079057510119</v>
      </c>
    </row>
    <row r="348" spans="1:12">
      <c r="A348" s="35">
        <v>242.95848753466754</v>
      </c>
      <c r="B348" s="35">
        <v>283.77590329625582</v>
      </c>
      <c r="C348" s="35">
        <v>248.5708278541193</v>
      </c>
      <c r="D348" s="35">
        <v>260.57352111963269</v>
      </c>
      <c r="E348" s="35">
        <v>285.89319737431481</v>
      </c>
      <c r="F348" s="35">
        <v>265.80455607756141</v>
      </c>
      <c r="G348" s="35">
        <v>254.70688620105429</v>
      </c>
      <c r="H348" s="35">
        <v>263.27405206105027</v>
      </c>
      <c r="I348" s="35">
        <v>290.00896087940146</v>
      </c>
      <c r="J348" s="35">
        <v>321.23571437736285</v>
      </c>
      <c r="K348" s="35">
        <v>331.64770640550427</v>
      </c>
      <c r="L348" s="35">
        <v>370.5819735491055</v>
      </c>
    </row>
    <row r="349" spans="1:12">
      <c r="A349" s="35">
        <v>233.39866599926634</v>
      </c>
      <c r="B349" s="35">
        <v>256.76687943395422</v>
      </c>
      <c r="C349" s="35">
        <v>243.36127144663629</v>
      </c>
      <c r="D349" s="35">
        <v>230.51760402321855</v>
      </c>
      <c r="E349" s="35">
        <v>277.14706839858138</v>
      </c>
      <c r="F349" s="35">
        <v>227.10763117151353</v>
      </c>
      <c r="G349" s="35">
        <v>225.80246495193464</v>
      </c>
      <c r="H349" s="35">
        <v>245.38434623324397</v>
      </c>
      <c r="I349" s="35">
        <v>265.30015371922877</v>
      </c>
      <c r="J349" s="35">
        <v>277.03840430263358</v>
      </c>
      <c r="K349" s="35">
        <v>301.91822610935395</v>
      </c>
      <c r="L349" s="35">
        <v>346.33331674854946</v>
      </c>
    </row>
    <row r="350" spans="1:12">
      <c r="A350" s="35">
        <v>245.23364710395884</v>
      </c>
      <c r="B350" s="35">
        <v>260.4678548020882</v>
      </c>
      <c r="C350" s="35">
        <v>237.43280517924185</v>
      </c>
      <c r="D350" s="35">
        <v>244.97403184118303</v>
      </c>
      <c r="E350" s="35">
        <v>290.9046351225457</v>
      </c>
      <c r="F350" s="35">
        <v>253.33855217784691</v>
      </c>
      <c r="G350" s="35">
        <v>268.20092350856055</v>
      </c>
      <c r="H350" s="35">
        <v>262.94143316221908</v>
      </c>
      <c r="I350" s="35">
        <v>311.90583596658564</v>
      </c>
      <c r="J350" s="35">
        <v>317.23736967596363</v>
      </c>
      <c r="K350" s="35">
        <v>357.76894038437854</v>
      </c>
      <c r="L350" s="35">
        <v>409.50221404672357</v>
      </c>
    </row>
    <row r="351" spans="1:12">
      <c r="A351" s="35">
        <v>224.76901760693312</v>
      </c>
      <c r="B351" s="35">
        <v>255.39178368986083</v>
      </c>
      <c r="C351" s="35">
        <v>238.38605992687701</v>
      </c>
      <c r="D351" s="35">
        <v>233.85974275047241</v>
      </c>
      <c r="E351" s="35">
        <v>239.93733988336501</v>
      </c>
      <c r="F351" s="35">
        <v>226.31497814104117</v>
      </c>
      <c r="G351" s="35">
        <v>239.82657545303169</v>
      </c>
      <c r="H351" s="35">
        <v>240.76339743284424</v>
      </c>
      <c r="I351" s="35">
        <v>256.67169610202887</v>
      </c>
      <c r="J351" s="35">
        <v>273.21548968344206</v>
      </c>
      <c r="K351" s="35">
        <v>283.4277169266752</v>
      </c>
      <c r="L351" s="35">
        <v>334.72337453290345</v>
      </c>
    </row>
    <row r="352" spans="1:12">
      <c r="A352" s="35">
        <v>255.14822895366322</v>
      </c>
      <c r="B352" s="35">
        <v>271.2650218584896</v>
      </c>
      <c r="C352" s="35">
        <v>233.66006468228349</v>
      </c>
      <c r="D352" s="35">
        <v>250.52786736580393</v>
      </c>
      <c r="E352" s="35">
        <v>288.12111718715551</v>
      </c>
      <c r="F352" s="35">
        <v>262.24675228563888</v>
      </c>
      <c r="G352" s="35">
        <v>273.66712776808521</v>
      </c>
      <c r="H352" s="35">
        <v>290.16234537393956</v>
      </c>
      <c r="I352" s="35">
        <v>305.25934555031739</v>
      </c>
      <c r="J352" s="35">
        <v>298.97071696985392</v>
      </c>
      <c r="K352" s="35">
        <v>346.36388976234997</v>
      </c>
      <c r="L352" s="35">
        <v>389.9393511613132</v>
      </c>
    </row>
    <row r="353" spans="1:12">
      <c r="A353" s="35">
        <v>245.74215113201168</v>
      </c>
      <c r="B353" s="35">
        <v>267.74175737746606</v>
      </c>
      <c r="C353" s="35">
        <v>242.67394583532806</v>
      </c>
      <c r="D353" s="35">
        <v>241.9270155591598</v>
      </c>
      <c r="E353" s="35">
        <v>286.95885341730246</v>
      </c>
      <c r="F353" s="35">
        <v>244.36892853280941</v>
      </c>
      <c r="G353" s="35">
        <v>266.55990057578811</v>
      </c>
      <c r="H353" s="35">
        <v>278.50781788402838</v>
      </c>
      <c r="I353" s="35">
        <v>293.70439054201063</v>
      </c>
      <c r="J353" s="35">
        <v>313.02950877598875</v>
      </c>
      <c r="K353" s="35">
        <v>339.47874360695681</v>
      </c>
      <c r="L353" s="35">
        <v>404.26942983198353</v>
      </c>
    </row>
    <row r="354" spans="1:12">
      <c r="A354" s="35">
        <v>248.94834748185673</v>
      </c>
      <c r="B354" s="35">
        <v>265.74179597959619</v>
      </c>
      <c r="C354" s="35">
        <v>229.87816129707844</v>
      </c>
      <c r="D354" s="35">
        <v>249.46997593549577</v>
      </c>
      <c r="E354" s="35">
        <v>278.37577523680989</v>
      </c>
      <c r="F354" s="35">
        <v>252.41106002628823</v>
      </c>
      <c r="G354" s="35">
        <v>277.87470664624794</v>
      </c>
      <c r="H354" s="35">
        <v>257.53385043432945</v>
      </c>
      <c r="I354" s="35">
        <v>285.12584544849869</v>
      </c>
      <c r="J354" s="35">
        <v>308.50309004925452</v>
      </c>
      <c r="K354" s="35">
        <v>321.2430137571464</v>
      </c>
      <c r="L354" s="35">
        <v>383.39221045118313</v>
      </c>
    </row>
    <row r="355" spans="1:12">
      <c r="A355" s="35">
        <v>246.42826719453151</v>
      </c>
      <c r="B355" s="35">
        <v>274.66837843535927</v>
      </c>
      <c r="C355" s="35">
        <v>249.29724662888742</v>
      </c>
      <c r="D355" s="35">
        <v>237.60507219014687</v>
      </c>
      <c r="E355" s="35">
        <v>291.90818274262483</v>
      </c>
      <c r="F355" s="35">
        <v>266.48876470076578</v>
      </c>
      <c r="G355" s="35">
        <v>265.73103419215084</v>
      </c>
      <c r="H355" s="35">
        <v>281.78598648188569</v>
      </c>
      <c r="I355" s="35">
        <v>335.73156941259316</v>
      </c>
      <c r="J355" s="35">
        <v>322.57125689227615</v>
      </c>
      <c r="K355" s="35">
        <v>367.54224515494025</v>
      </c>
      <c r="L355" s="35">
        <v>433.7885784442812</v>
      </c>
    </row>
    <row r="356" spans="1:12">
      <c r="A356" s="35">
        <v>251.10234092997652</v>
      </c>
      <c r="B356" s="35">
        <v>275.48626564522897</v>
      </c>
      <c r="C356" s="35">
        <v>242.46852372003957</v>
      </c>
      <c r="D356" s="35">
        <v>232.09739341822078</v>
      </c>
      <c r="E356" s="35">
        <v>276.85237203394377</v>
      </c>
      <c r="F356" s="35">
        <v>257.43479329608294</v>
      </c>
      <c r="G356" s="35">
        <v>277.7258369418372</v>
      </c>
      <c r="H356" s="35">
        <v>280.3278526466288</v>
      </c>
      <c r="I356" s="35">
        <v>284.21188042586283</v>
      </c>
      <c r="J356" s="35">
        <v>305.70978404516779</v>
      </c>
      <c r="K356" s="35">
        <v>319.64825391458663</v>
      </c>
      <c r="L356" s="35">
        <v>371.74723327308277</v>
      </c>
    </row>
    <row r="357" spans="1:12">
      <c r="A357" s="35">
        <v>235.90510958393858</v>
      </c>
      <c r="B357" s="35">
        <v>262.74998917691846</v>
      </c>
      <c r="C357" s="35">
        <v>233.1369786652121</v>
      </c>
      <c r="D357" s="35">
        <v>246.86493954653378</v>
      </c>
      <c r="E357" s="35">
        <v>282.98471379076011</v>
      </c>
      <c r="F357" s="35">
        <v>268.81425841958543</v>
      </c>
      <c r="G357" s="35">
        <v>269.45258716085851</v>
      </c>
      <c r="H357" s="35">
        <v>272.93807507854922</v>
      </c>
      <c r="I357" s="35">
        <v>315.80939372964656</v>
      </c>
      <c r="J357" s="35">
        <v>321.21315380541358</v>
      </c>
      <c r="K357" s="35">
        <v>340.09744658263469</v>
      </c>
      <c r="L357" s="35">
        <v>404.10708156302991</v>
      </c>
    </row>
    <row r="358" spans="1:12">
      <c r="A358" s="35">
        <v>246.28378192587331</v>
      </c>
      <c r="B358" s="35">
        <v>266.68075977097908</v>
      </c>
      <c r="C358" s="35">
        <v>234.9931009648939</v>
      </c>
      <c r="D358" s="35">
        <v>237.03702623616357</v>
      </c>
      <c r="E358" s="35">
        <v>263.84785209818835</v>
      </c>
      <c r="F358" s="35">
        <v>229.1776238958189</v>
      </c>
      <c r="G358" s="35">
        <v>251.60721911138978</v>
      </c>
      <c r="H358" s="35">
        <v>250.52509075714866</v>
      </c>
      <c r="I358" s="35">
        <v>272.02700375106065</v>
      </c>
      <c r="J358" s="35">
        <v>276.80977780259002</v>
      </c>
      <c r="K358" s="35">
        <v>299.88141428951843</v>
      </c>
      <c r="L358" s="35">
        <v>345.64256215813549</v>
      </c>
    </row>
    <row r="359" spans="1:12">
      <c r="A359" s="35">
        <v>262.4931654327824</v>
      </c>
      <c r="B359" s="35">
        <v>269.17222849863685</v>
      </c>
      <c r="C359" s="35">
        <v>255.00664738195806</v>
      </c>
      <c r="D359" s="35">
        <v>241.02985630112676</v>
      </c>
      <c r="E359" s="35">
        <v>306.56901424701135</v>
      </c>
      <c r="F359" s="35">
        <v>265.70239421527862</v>
      </c>
      <c r="G359" s="35">
        <v>279.33490880390286</v>
      </c>
      <c r="H359" s="35">
        <v>275.39614861586307</v>
      </c>
      <c r="I359" s="35">
        <v>297.9924588433982</v>
      </c>
      <c r="J359" s="35">
        <v>300.52751713515596</v>
      </c>
      <c r="K359" s="35">
        <v>321.20552804202106</v>
      </c>
      <c r="L359" s="35">
        <v>384.2409660189723</v>
      </c>
    </row>
    <row r="360" spans="1:12">
      <c r="A360" s="35">
        <v>255.1801696170964</v>
      </c>
      <c r="B360" s="35">
        <v>260.87311203405557</v>
      </c>
      <c r="C360" s="35">
        <v>233.72020546506738</v>
      </c>
      <c r="D360" s="35">
        <v>244.20339070849337</v>
      </c>
      <c r="E360" s="35">
        <v>278.32123190062003</v>
      </c>
      <c r="F360" s="35">
        <v>240.62112374409378</v>
      </c>
      <c r="G360" s="35">
        <v>256.58751309402032</v>
      </c>
      <c r="H360" s="35">
        <v>256.87039357216923</v>
      </c>
      <c r="I360" s="35">
        <v>272.50392791752057</v>
      </c>
      <c r="J360" s="35">
        <v>298.54959880820496</v>
      </c>
      <c r="K360" s="35">
        <v>316.05855237404666</v>
      </c>
      <c r="L360" s="35">
        <v>339.98777738253176</v>
      </c>
    </row>
    <row r="361" spans="1:12">
      <c r="A361" s="35">
        <v>259.6828323448434</v>
      </c>
      <c r="B361" s="35">
        <v>265.02420256580541</v>
      </c>
      <c r="C361" s="35">
        <v>245.07208841612857</v>
      </c>
      <c r="D361" s="35">
        <v>253.46958808340671</v>
      </c>
      <c r="E361" s="35">
        <v>292.97014150665473</v>
      </c>
      <c r="F361" s="35">
        <v>257.15571470787097</v>
      </c>
      <c r="G361" s="35">
        <v>271.19515063005895</v>
      </c>
      <c r="H361" s="35">
        <v>297.25927553854831</v>
      </c>
      <c r="I361" s="35">
        <v>301.83184218385833</v>
      </c>
      <c r="J361" s="35">
        <v>326.88739515866365</v>
      </c>
      <c r="K361" s="35">
        <v>348.75891213031491</v>
      </c>
      <c r="L361" s="35">
        <v>400.02265393304685</v>
      </c>
    </row>
    <row r="362" spans="1:12">
      <c r="A362" s="35">
        <v>245.06566362042753</v>
      </c>
      <c r="B362" s="35">
        <v>257.94306066729183</v>
      </c>
      <c r="C362" s="35">
        <v>243.20016446940915</v>
      </c>
      <c r="D362" s="35">
        <v>238.53801539739186</v>
      </c>
      <c r="E362" s="35">
        <v>275.63785571487836</v>
      </c>
      <c r="F362" s="35">
        <v>253.40680207605519</v>
      </c>
      <c r="G362" s="35">
        <v>270.45765992457285</v>
      </c>
      <c r="H362" s="35">
        <v>276.18194979243742</v>
      </c>
      <c r="I362" s="35">
        <v>283.62623557859564</v>
      </c>
      <c r="J362" s="35">
        <v>321.72517218070413</v>
      </c>
      <c r="K362" s="35">
        <v>333.9889998906271</v>
      </c>
      <c r="L362" s="35">
        <v>380.68553209016011</v>
      </c>
    </row>
    <row r="363" spans="1:12">
      <c r="A363" s="35">
        <v>244.82843698371423</v>
      </c>
      <c r="B363" s="35">
        <v>252.01515895927858</v>
      </c>
      <c r="C363" s="35">
        <v>251.8113982234425</v>
      </c>
      <c r="D363" s="35">
        <v>247.34325632579714</v>
      </c>
      <c r="E363" s="35">
        <v>290.72610620935507</v>
      </c>
      <c r="F363" s="35">
        <v>235.0447323694805</v>
      </c>
      <c r="G363" s="35">
        <v>256.53754237548549</v>
      </c>
      <c r="H363" s="35">
        <v>268.85099469542894</v>
      </c>
      <c r="I363" s="35">
        <v>307.87508502536969</v>
      </c>
      <c r="J363" s="35">
        <v>320.53968512244569</v>
      </c>
      <c r="K363" s="35">
        <v>326.52321375495325</v>
      </c>
      <c r="L363" s="35">
        <v>392.76163757245013</v>
      </c>
    </row>
    <row r="364" spans="1:12">
      <c r="A364" s="35">
        <v>236.44353648890964</v>
      </c>
      <c r="B364" s="35">
        <v>253.25445052749768</v>
      </c>
      <c r="C364" s="35">
        <v>237.69072639556757</v>
      </c>
      <c r="D364" s="35">
        <v>228.32463587495337</v>
      </c>
      <c r="E364" s="35">
        <v>269.85314229237292</v>
      </c>
      <c r="F364" s="35">
        <v>260.22034695432433</v>
      </c>
      <c r="G364" s="35">
        <v>252.33468945791324</v>
      </c>
      <c r="H364" s="35">
        <v>273.11264147355723</v>
      </c>
      <c r="I364" s="35">
        <v>293.33017107531509</v>
      </c>
      <c r="J364" s="35">
        <v>302.73354494977769</v>
      </c>
      <c r="K364" s="35">
        <v>330.08795641310587</v>
      </c>
      <c r="L364" s="35">
        <v>388.56540248437477</v>
      </c>
    </row>
    <row r="365" spans="1:12">
      <c r="A365" s="35">
        <v>237.22119613635056</v>
      </c>
      <c r="B365" s="35">
        <v>270.6077386848674</v>
      </c>
      <c r="C365" s="35">
        <v>234.90110519753276</v>
      </c>
      <c r="D365" s="35">
        <v>243.95009832783677</v>
      </c>
      <c r="E365" s="35">
        <v>255.51923584969538</v>
      </c>
      <c r="F365" s="35">
        <v>243.162141945944</v>
      </c>
      <c r="G365" s="35">
        <v>261.00556843272227</v>
      </c>
      <c r="H365" s="35">
        <v>265.38767529845165</v>
      </c>
      <c r="I365" s="35">
        <v>266.38380232955552</v>
      </c>
      <c r="J365" s="35">
        <v>283.12361973614782</v>
      </c>
      <c r="K365" s="35">
        <v>310.4410880084472</v>
      </c>
      <c r="L365" s="35">
        <v>354.60322320652671</v>
      </c>
    </row>
    <row r="366" spans="1:12">
      <c r="A366" s="35">
        <v>258.16964489747795</v>
      </c>
      <c r="B366" s="35">
        <v>255.08337059921877</v>
      </c>
      <c r="C366" s="35">
        <v>258.90828791647959</v>
      </c>
      <c r="D366" s="35">
        <v>235.46042511784896</v>
      </c>
      <c r="E366" s="35">
        <v>278.65404832559881</v>
      </c>
      <c r="F366" s="35">
        <v>253.87192465085531</v>
      </c>
      <c r="G366" s="35">
        <v>259.22316910195838</v>
      </c>
      <c r="H366" s="35">
        <v>255.07806262451746</v>
      </c>
      <c r="I366" s="35">
        <v>298.20993151176293</v>
      </c>
      <c r="J366" s="35">
        <v>288.0752865969547</v>
      </c>
      <c r="K366" s="35">
        <v>304.01800175487779</v>
      </c>
      <c r="L366" s="35">
        <v>352.82067197436072</v>
      </c>
    </row>
    <row r="367" spans="1:12">
      <c r="A367" s="35">
        <v>243.85413821423847</v>
      </c>
      <c r="B367" s="35">
        <v>264.38647089150527</v>
      </c>
      <c r="C367" s="35">
        <v>242.45015600465251</v>
      </c>
      <c r="D367" s="35">
        <v>251.15701225965046</v>
      </c>
      <c r="E367" s="35">
        <v>272.69597260859734</v>
      </c>
      <c r="F367" s="35">
        <v>243.28530056475668</v>
      </c>
      <c r="G367" s="35">
        <v>246.30197304662653</v>
      </c>
      <c r="H367" s="35">
        <v>255.32121638125082</v>
      </c>
      <c r="I367" s="35">
        <v>279.27565872235596</v>
      </c>
      <c r="J367" s="35">
        <v>278.99891824366927</v>
      </c>
      <c r="K367" s="35">
        <v>297.75778434287633</v>
      </c>
      <c r="L367" s="35">
        <v>354.64603079452428</v>
      </c>
    </row>
    <row r="368" spans="1:12">
      <c r="A368" s="35">
        <v>257.14112903982328</v>
      </c>
      <c r="B368" s="35">
        <v>252.43790760387168</v>
      </c>
      <c r="C368" s="35">
        <v>270.15064987697224</v>
      </c>
      <c r="D368" s="35">
        <v>247.67886762068608</v>
      </c>
      <c r="E368" s="35">
        <v>310.83998319857898</v>
      </c>
      <c r="F368" s="35">
        <v>250.68035930485166</v>
      </c>
      <c r="G368" s="35">
        <v>266.81273306705663</v>
      </c>
      <c r="H368" s="35">
        <v>276.39959495373199</v>
      </c>
      <c r="I368" s="35">
        <v>289.36493826518517</v>
      </c>
      <c r="J368" s="35">
        <v>305.31525836209823</v>
      </c>
      <c r="K368" s="35">
        <v>328.6434909141862</v>
      </c>
      <c r="L368" s="35">
        <v>389.06415367472198</v>
      </c>
    </row>
    <row r="369" spans="1:12">
      <c r="A369" s="35">
        <v>250.25981262236581</v>
      </c>
      <c r="B369" s="35">
        <v>282.22897079736578</v>
      </c>
      <c r="C369" s="35">
        <v>245.67866690432132</v>
      </c>
      <c r="D369" s="35">
        <v>243.35491464223591</v>
      </c>
      <c r="E369" s="35">
        <v>296.49852657362993</v>
      </c>
      <c r="F369" s="35">
        <v>258.13726702112774</v>
      </c>
      <c r="G369" s="35">
        <v>273.14644092746795</v>
      </c>
      <c r="H369" s="35">
        <v>297.05221588672538</v>
      </c>
      <c r="I369" s="35">
        <v>310.52549230232825</v>
      </c>
      <c r="J369" s="35">
        <v>336.86169966166324</v>
      </c>
      <c r="K369" s="35">
        <v>342.0997545247393</v>
      </c>
      <c r="L369" s="35">
        <v>404.32558420840917</v>
      </c>
    </row>
    <row r="370" spans="1:12">
      <c r="A370" s="35">
        <v>258.77793400844502</v>
      </c>
      <c r="B370" s="35">
        <v>285.44608182744571</v>
      </c>
      <c r="C370" s="35">
        <v>251.54397747673147</v>
      </c>
      <c r="D370" s="35">
        <v>261.34037207434733</v>
      </c>
      <c r="E370" s="35">
        <v>295.35684426919926</v>
      </c>
      <c r="F370" s="35">
        <v>270.30698978041778</v>
      </c>
      <c r="G370" s="35">
        <v>278.88559106737046</v>
      </c>
      <c r="H370" s="35">
        <v>280.12879377883314</v>
      </c>
      <c r="I370" s="35">
        <v>308.19342118889563</v>
      </c>
      <c r="J370" s="35">
        <v>316.09713983379925</v>
      </c>
      <c r="K370" s="35">
        <v>346.18956156852818</v>
      </c>
      <c r="L370" s="35">
        <v>392.48091142776059</v>
      </c>
    </row>
    <row r="371" spans="1:12">
      <c r="A371" s="35">
        <v>269.88069030882571</v>
      </c>
      <c r="B371" s="35">
        <v>261.75894956418523</v>
      </c>
      <c r="C371" s="35">
        <v>256.28414216978769</v>
      </c>
      <c r="D371" s="35">
        <v>251.26360039577105</v>
      </c>
      <c r="E371" s="35">
        <v>289.30292874643629</v>
      </c>
      <c r="F371" s="35">
        <v>250.96333200260321</v>
      </c>
      <c r="G371" s="35">
        <v>273.03375072259553</v>
      </c>
      <c r="H371" s="35">
        <v>272.96816517241302</v>
      </c>
      <c r="I371" s="35">
        <v>301.37749638548064</v>
      </c>
      <c r="J371" s="35">
        <v>342.33427627808237</v>
      </c>
      <c r="K371" s="35">
        <v>337.3585700926098</v>
      </c>
      <c r="L371" s="35">
        <v>394.35843737040125</v>
      </c>
    </row>
    <row r="372" spans="1:12">
      <c r="A372" s="35">
        <v>248.49268200677821</v>
      </c>
      <c r="B372" s="35">
        <v>259.02245135058172</v>
      </c>
      <c r="C372" s="35">
        <v>247.55908221929587</v>
      </c>
      <c r="D372" s="35">
        <v>236.4895336683378</v>
      </c>
      <c r="E372" s="35">
        <v>281.97848697874088</v>
      </c>
      <c r="F372" s="35">
        <v>256.91352423639285</v>
      </c>
      <c r="G372" s="35">
        <v>267.17191045890894</v>
      </c>
      <c r="H372" s="35">
        <v>288.65984057952051</v>
      </c>
      <c r="I372" s="35">
        <v>298.40765250026107</v>
      </c>
      <c r="J372" s="35">
        <v>320.839361182049</v>
      </c>
      <c r="K372" s="35">
        <v>334.75125373855889</v>
      </c>
      <c r="L372" s="35">
        <v>392.8443534397307</v>
      </c>
    </row>
    <row r="373" spans="1:12">
      <c r="A373" s="35">
        <v>247.14729694465839</v>
      </c>
      <c r="B373" s="35">
        <v>271.22328353876617</v>
      </c>
      <c r="C373" s="35">
        <v>260.98326927125197</v>
      </c>
      <c r="D373" s="35">
        <v>247.10424921402932</v>
      </c>
      <c r="E373" s="35">
        <v>303.25482403117047</v>
      </c>
      <c r="F373" s="35">
        <v>265.82816337350857</v>
      </c>
      <c r="G373" s="35">
        <v>282.88979318599246</v>
      </c>
      <c r="H373" s="35">
        <v>293.97163079571845</v>
      </c>
      <c r="I373" s="35">
        <v>333.21606488973197</v>
      </c>
      <c r="J373" s="35">
        <v>344.79858411934919</v>
      </c>
      <c r="K373" s="35">
        <v>337.60440817212879</v>
      </c>
      <c r="L373" s="35">
        <v>408.16862570634657</v>
      </c>
    </row>
    <row r="374" spans="1:12">
      <c r="A374" s="35">
        <v>256.55422850734624</v>
      </c>
      <c r="B374" s="35">
        <v>259.00909331721044</v>
      </c>
      <c r="C374" s="35">
        <v>245.87244369754984</v>
      </c>
      <c r="D374" s="35">
        <v>234.41080310750789</v>
      </c>
      <c r="E374" s="35">
        <v>267.71078697739682</v>
      </c>
      <c r="F374" s="35">
        <v>246.48107601900222</v>
      </c>
      <c r="G374" s="35">
        <v>250.75886346842785</v>
      </c>
      <c r="H374" s="35">
        <v>242.68536975757661</v>
      </c>
      <c r="I374" s="35">
        <v>273.07730821525371</v>
      </c>
      <c r="J374" s="35">
        <v>285.06736382603486</v>
      </c>
      <c r="K374" s="35">
        <v>318.77803797209464</v>
      </c>
      <c r="L374" s="35">
        <v>369.01995177582933</v>
      </c>
    </row>
    <row r="375" spans="1:12">
      <c r="A375" s="35">
        <v>242.65851132013739</v>
      </c>
      <c r="B375" s="35">
        <v>259.38220150099039</v>
      </c>
      <c r="C375" s="35">
        <v>225.71427038432998</v>
      </c>
      <c r="D375" s="35">
        <v>238.00499535786707</v>
      </c>
      <c r="E375" s="35">
        <v>268.21238712546318</v>
      </c>
      <c r="F375" s="35">
        <v>257.03486142654248</v>
      </c>
      <c r="G375" s="35">
        <v>234.7245268740584</v>
      </c>
      <c r="H375" s="35">
        <v>258.79504170838857</v>
      </c>
      <c r="I375" s="35">
        <v>275.53777129566424</v>
      </c>
      <c r="J375" s="35">
        <v>304.69291246427485</v>
      </c>
      <c r="K375" s="35">
        <v>319.43557405463451</v>
      </c>
      <c r="L375" s="35">
        <v>353.30999780516976</v>
      </c>
    </row>
    <row r="376" spans="1:12">
      <c r="A376" s="35">
        <v>235.56867587931902</v>
      </c>
      <c r="B376" s="35">
        <v>272.35414020563979</v>
      </c>
      <c r="C376" s="35">
        <v>234.81540129304091</v>
      </c>
      <c r="D376" s="35">
        <v>250.95279757995976</v>
      </c>
      <c r="E376" s="35">
        <v>294.97623580204112</v>
      </c>
      <c r="F376" s="35">
        <v>239.30968990524664</v>
      </c>
      <c r="G376" s="35">
        <v>247.85244400905384</v>
      </c>
      <c r="H376" s="35">
        <v>265.77342408029449</v>
      </c>
      <c r="I376" s="35">
        <v>289.39198730404155</v>
      </c>
      <c r="J376" s="35">
        <v>302.85867161778339</v>
      </c>
      <c r="K376" s="35">
        <v>303.78945427303967</v>
      </c>
      <c r="L376" s="35">
        <v>365.38628767244734</v>
      </c>
    </row>
    <row r="377" spans="1:12">
      <c r="A377" s="35">
        <v>238.13549954830617</v>
      </c>
      <c r="B377" s="35">
        <v>256.34513325611942</v>
      </c>
      <c r="C377" s="35">
        <v>231.40152058192362</v>
      </c>
      <c r="D377" s="35">
        <v>238.2272416658769</v>
      </c>
      <c r="E377" s="35">
        <v>282.55689174100371</v>
      </c>
      <c r="F377" s="35">
        <v>224.76709114011592</v>
      </c>
      <c r="G377" s="35">
        <v>259.17325412821288</v>
      </c>
      <c r="H377" s="35">
        <v>257.25488702760464</v>
      </c>
      <c r="I377" s="35">
        <v>281.81588190640116</v>
      </c>
      <c r="J377" s="35">
        <v>312.78497561295956</v>
      </c>
      <c r="K377" s="35">
        <v>310.22323872448271</v>
      </c>
      <c r="L377" s="35">
        <v>353.65119898927583</v>
      </c>
    </row>
    <row r="378" spans="1:12">
      <c r="A378" s="35">
        <v>261.4794628907481</v>
      </c>
      <c r="B378" s="35">
        <v>266.7958914580359</v>
      </c>
      <c r="C378" s="35">
        <v>243.57564360771053</v>
      </c>
      <c r="D378" s="35">
        <v>264.37075678507409</v>
      </c>
      <c r="E378" s="35">
        <v>293.77252263965028</v>
      </c>
      <c r="F378" s="35">
        <v>265.34121808042494</v>
      </c>
      <c r="G378" s="35">
        <v>267.03099873996791</v>
      </c>
      <c r="H378" s="35">
        <v>276.97078347041037</v>
      </c>
      <c r="I378" s="35">
        <v>296.77625604545739</v>
      </c>
      <c r="J378" s="35">
        <v>310.81472638832355</v>
      </c>
      <c r="K378" s="35">
        <v>326.67878271393153</v>
      </c>
      <c r="L378" s="35">
        <v>381.98287805430613</v>
      </c>
    </row>
    <row r="379" spans="1:12">
      <c r="A379" s="35">
        <v>264.93645910724047</v>
      </c>
      <c r="B379" s="35">
        <v>271.7293355507723</v>
      </c>
      <c r="C379" s="35">
        <v>246.31899687414386</v>
      </c>
      <c r="D379" s="35">
        <v>271.04740962726692</v>
      </c>
      <c r="E379" s="35">
        <v>301.78717801423488</v>
      </c>
      <c r="F379" s="35">
        <v>269.81465094583751</v>
      </c>
      <c r="G379" s="35">
        <v>271.60800612372361</v>
      </c>
      <c r="H379" s="35">
        <v>293.38084801564941</v>
      </c>
      <c r="I379" s="35">
        <v>309.8945620460151</v>
      </c>
      <c r="J379" s="35">
        <v>343.21012044066367</v>
      </c>
      <c r="K379" s="35">
        <v>345.69845518824116</v>
      </c>
      <c r="L379" s="35">
        <v>426.2907732227265</v>
      </c>
    </row>
    <row r="380" spans="1:12">
      <c r="A380" s="35">
        <v>265.58436573772087</v>
      </c>
      <c r="B380" s="35">
        <v>272.73648445192799</v>
      </c>
      <c r="C380" s="35">
        <v>261.94173163327167</v>
      </c>
      <c r="D380" s="35">
        <v>262.2923375870734</v>
      </c>
      <c r="E380" s="35">
        <v>296.02953163271985</v>
      </c>
      <c r="F380" s="35">
        <v>264.1299973694276</v>
      </c>
      <c r="G380" s="35">
        <v>287.28838284380703</v>
      </c>
      <c r="H380" s="35">
        <v>292.90291782697614</v>
      </c>
      <c r="I380" s="35">
        <v>330.38663005765505</v>
      </c>
      <c r="J380" s="35">
        <v>355.94780148012336</v>
      </c>
      <c r="K380" s="35">
        <v>363.57096700940843</v>
      </c>
      <c r="L380" s="35">
        <v>421.06381367509573</v>
      </c>
    </row>
    <row r="381" spans="1:12">
      <c r="A381" s="35">
        <v>223.41543937621839</v>
      </c>
      <c r="B381" s="35">
        <v>266.49038221545374</v>
      </c>
      <c r="C381" s="35">
        <v>231.91536465163284</v>
      </c>
      <c r="D381" s="35">
        <v>249.43072444344324</v>
      </c>
      <c r="E381" s="35">
        <v>286.01134419035657</v>
      </c>
      <c r="F381" s="35">
        <v>247.20030094356804</v>
      </c>
      <c r="G381" s="35">
        <v>244.87838977902135</v>
      </c>
      <c r="H381" s="35">
        <v>248.44479158939097</v>
      </c>
      <c r="I381" s="35">
        <v>295.65220616904548</v>
      </c>
      <c r="J381" s="35">
        <v>306.36196259682231</v>
      </c>
      <c r="K381" s="35">
        <v>325.98335208007444</v>
      </c>
      <c r="L381" s="35">
        <v>375.35752069582651</v>
      </c>
    </row>
    <row r="382" spans="1:12">
      <c r="A382" s="35">
        <v>242.13378171270355</v>
      </c>
      <c r="B382" s="35">
        <v>239.49770744910654</v>
      </c>
      <c r="C382" s="35">
        <v>229.2222796562078</v>
      </c>
      <c r="D382" s="35">
        <v>231.31403261639485</v>
      </c>
      <c r="E382" s="35">
        <v>289.60730959973608</v>
      </c>
      <c r="F382" s="35">
        <v>238.44695220180566</v>
      </c>
      <c r="G382" s="35">
        <v>255.87224717019302</v>
      </c>
      <c r="H382" s="35">
        <v>247.91384366553862</v>
      </c>
      <c r="I382" s="35">
        <v>281.62579154561502</v>
      </c>
      <c r="J382" s="35">
        <v>267.96850224185278</v>
      </c>
      <c r="K382" s="35">
        <v>289.87978359149707</v>
      </c>
      <c r="L382" s="35">
        <v>352.47898791450734</v>
      </c>
    </row>
    <row r="383" spans="1:12">
      <c r="A383" s="35">
        <v>239.5140666260412</v>
      </c>
      <c r="B383" s="35">
        <v>274.63049212937131</v>
      </c>
      <c r="C383" s="35">
        <v>260.76057975183483</v>
      </c>
      <c r="D383" s="35">
        <v>260.3574447788605</v>
      </c>
      <c r="E383" s="35">
        <v>286.43445226921955</v>
      </c>
      <c r="F383" s="35">
        <v>272.8033228794713</v>
      </c>
      <c r="G383" s="35">
        <v>284.18331188197828</v>
      </c>
      <c r="H383" s="35">
        <v>289.6709645781051</v>
      </c>
      <c r="I383" s="35">
        <v>315.21787424093651</v>
      </c>
      <c r="J383" s="35">
        <v>336.89660421342433</v>
      </c>
      <c r="K383" s="35">
        <v>357.95666901645444</v>
      </c>
      <c r="L383" s="35">
        <v>413.71391074185578</v>
      </c>
    </row>
    <row r="384" spans="1:12">
      <c r="A384" s="35">
        <v>233.73297118902249</v>
      </c>
      <c r="B384" s="35">
        <v>243.42729957090356</v>
      </c>
      <c r="C384" s="35">
        <v>243.99865351037454</v>
      </c>
      <c r="D384" s="35">
        <v>243.49459479681548</v>
      </c>
      <c r="E384" s="35">
        <v>259.62856424498733</v>
      </c>
      <c r="F384" s="35">
        <v>225.43928703389435</v>
      </c>
      <c r="G384" s="35">
        <v>247.95970644873907</v>
      </c>
      <c r="H384" s="35">
        <v>240.29809067679571</v>
      </c>
      <c r="I384" s="35">
        <v>266.00616287658494</v>
      </c>
      <c r="J384" s="35">
        <v>274.81833889062494</v>
      </c>
      <c r="K384" s="35">
        <v>293.55094697892889</v>
      </c>
      <c r="L384" s="35">
        <v>314.28986167806994</v>
      </c>
    </row>
    <row r="385" spans="1:12">
      <c r="A385" s="35">
        <v>260.96352586472688</v>
      </c>
      <c r="B385" s="35">
        <v>279.54706837947839</v>
      </c>
      <c r="C385" s="35">
        <v>259.1460262625688</v>
      </c>
      <c r="D385" s="35">
        <v>247.51810222579948</v>
      </c>
      <c r="E385" s="35">
        <v>294.03895598602026</v>
      </c>
      <c r="F385" s="35">
        <v>291.8111152129826</v>
      </c>
      <c r="G385" s="35">
        <v>267.03638346989197</v>
      </c>
      <c r="H385" s="35">
        <v>288.04858386558067</v>
      </c>
      <c r="I385" s="35">
        <v>316.97657155961707</v>
      </c>
      <c r="J385" s="35">
        <v>311.47141854005235</v>
      </c>
      <c r="K385" s="35">
        <v>343.38773328323504</v>
      </c>
      <c r="L385" s="35">
        <v>412.29139302524294</v>
      </c>
    </row>
    <row r="386" spans="1:12">
      <c r="A386" s="35">
        <v>238.58344725520811</v>
      </c>
      <c r="B386" s="35">
        <v>257.5467775528673</v>
      </c>
      <c r="C386" s="35">
        <v>243.20806005768216</v>
      </c>
      <c r="D386" s="35">
        <v>232.64991331320732</v>
      </c>
      <c r="E386" s="35">
        <v>283.28845748875256</v>
      </c>
      <c r="F386" s="35">
        <v>238.53528739085129</v>
      </c>
      <c r="G386" s="35">
        <v>245.93124060507282</v>
      </c>
      <c r="H386" s="35">
        <v>234.70988079378151</v>
      </c>
      <c r="I386" s="35">
        <v>268.96743582993099</v>
      </c>
      <c r="J386" s="35">
        <v>289.65647252027861</v>
      </c>
      <c r="K386" s="35">
        <v>299.24858480323479</v>
      </c>
      <c r="L386" s="35">
        <v>352.90824298179916</v>
      </c>
    </row>
    <row r="387" spans="1:12">
      <c r="A387" s="35">
        <v>246.1064363848628</v>
      </c>
      <c r="B387" s="35">
        <v>255.93245506497385</v>
      </c>
      <c r="C387" s="35">
        <v>239.67500149468046</v>
      </c>
      <c r="D387" s="35">
        <v>252.03164222572605</v>
      </c>
      <c r="E387" s="35">
        <v>293.76433174932157</v>
      </c>
      <c r="F387" s="35">
        <v>234.56735321024175</v>
      </c>
      <c r="G387" s="35">
        <v>239.58323048104123</v>
      </c>
      <c r="H387" s="35">
        <v>250.7273991803398</v>
      </c>
      <c r="I387" s="35">
        <v>281.55537813306319</v>
      </c>
      <c r="J387" s="35">
        <v>292.57961813383656</v>
      </c>
      <c r="K387" s="35">
        <v>291.88091599672885</v>
      </c>
      <c r="L387" s="35">
        <v>353.97843200821922</v>
      </c>
    </row>
    <row r="388" spans="1:12">
      <c r="A388" s="35">
        <v>257.49286471074453</v>
      </c>
      <c r="B388" s="35">
        <v>281.53060920612853</v>
      </c>
      <c r="C388" s="35">
        <v>259.70142204120503</v>
      </c>
      <c r="D388" s="35">
        <v>253.12163325196909</v>
      </c>
      <c r="E388" s="35">
        <v>303.61937982983102</v>
      </c>
      <c r="F388" s="35">
        <v>276.98119050550764</v>
      </c>
      <c r="G388" s="35">
        <v>312.73005923523891</v>
      </c>
      <c r="H388" s="35">
        <v>297.09138184959983</v>
      </c>
      <c r="I388" s="35">
        <v>326.41960707976159</v>
      </c>
      <c r="J388" s="35">
        <v>348.10890568008296</v>
      </c>
      <c r="K388" s="35">
        <v>373.34465981454099</v>
      </c>
      <c r="L388" s="35">
        <v>431.87495911736619</v>
      </c>
    </row>
    <row r="389" spans="1:12">
      <c r="A389" s="35">
        <v>229.3830488700745</v>
      </c>
      <c r="B389" s="35">
        <v>254.74460819034775</v>
      </c>
      <c r="C389" s="35">
        <v>230.61585290122105</v>
      </c>
      <c r="D389" s="35">
        <v>228.98338797031829</v>
      </c>
      <c r="E389" s="35">
        <v>274.45835861239073</v>
      </c>
      <c r="F389" s="35">
        <v>227.52737131102077</v>
      </c>
      <c r="G389" s="35">
        <v>248.89581583157036</v>
      </c>
      <c r="H389" s="35">
        <v>238.27991915767035</v>
      </c>
      <c r="I389" s="35">
        <v>277.71124521949127</v>
      </c>
      <c r="J389" s="35">
        <v>289.78170600759955</v>
      </c>
      <c r="K389" s="35">
        <v>303.83848554318848</v>
      </c>
      <c r="L389" s="35">
        <v>335.69289877244603</v>
      </c>
    </row>
    <row r="390" spans="1:12">
      <c r="A390" s="35">
        <v>250.01560505329763</v>
      </c>
      <c r="B390" s="35">
        <v>248.57452951694742</v>
      </c>
      <c r="C390" s="35">
        <v>242.53228100812109</v>
      </c>
      <c r="D390" s="35">
        <v>240.62823553489596</v>
      </c>
      <c r="E390" s="35">
        <v>281.53321266598067</v>
      </c>
      <c r="F390" s="35">
        <v>261.74233779397554</v>
      </c>
      <c r="G390" s="35">
        <v>275.85192297720528</v>
      </c>
      <c r="H390" s="35">
        <v>268.28047394664185</v>
      </c>
      <c r="I390" s="35">
        <v>291.23886141678679</v>
      </c>
      <c r="J390" s="35">
        <v>300.29266176566506</v>
      </c>
      <c r="K390" s="35">
        <v>335.75346468905281</v>
      </c>
      <c r="L390" s="35">
        <v>366.65832439772197</v>
      </c>
    </row>
    <row r="391" spans="1:12">
      <c r="A391" s="35">
        <v>250.84823122003624</v>
      </c>
      <c r="B391" s="35">
        <v>260.20320038968612</v>
      </c>
      <c r="C391" s="35">
        <v>234.26424422791763</v>
      </c>
      <c r="D391" s="35">
        <v>237.30828355643922</v>
      </c>
      <c r="E391" s="35">
        <v>286.30763655124355</v>
      </c>
      <c r="F391" s="35">
        <v>237.6313388802732</v>
      </c>
      <c r="G391" s="35">
        <v>261.3601950284031</v>
      </c>
      <c r="H391" s="35">
        <v>266.48928366810105</v>
      </c>
      <c r="I391" s="35">
        <v>300.62812462520526</v>
      </c>
      <c r="J391" s="35">
        <v>308.94970695379686</v>
      </c>
      <c r="K391" s="35">
        <v>315.07088585155378</v>
      </c>
      <c r="L391" s="35">
        <v>379.75461323603827</v>
      </c>
    </row>
    <row r="392" spans="1:12">
      <c r="A392" s="35">
        <v>266.59487691936772</v>
      </c>
      <c r="B392" s="35">
        <v>249.58544385796029</v>
      </c>
      <c r="C392" s="35">
        <v>233.13594022193439</v>
      </c>
      <c r="D392" s="35">
        <v>245.29734359307943</v>
      </c>
      <c r="E392" s="35">
        <v>279.05348784679552</v>
      </c>
      <c r="F392" s="35">
        <v>254.78136745124345</v>
      </c>
      <c r="G392" s="35">
        <v>266.98102453948417</v>
      </c>
      <c r="H392" s="35">
        <v>293.43150125605058</v>
      </c>
      <c r="I392" s="35">
        <v>295.12785822628462</v>
      </c>
      <c r="J392" s="35">
        <v>315.97358203926461</v>
      </c>
      <c r="K392" s="35">
        <v>322.0285327260296</v>
      </c>
      <c r="L392" s="35">
        <v>394.20266216434004</v>
      </c>
    </row>
    <row r="393" spans="1:12">
      <c r="A393" s="35">
        <v>248.95532727391259</v>
      </c>
      <c r="B393" s="35">
        <v>273.86138171862194</v>
      </c>
      <c r="C393" s="35">
        <v>247.75059637163744</v>
      </c>
      <c r="D393" s="35">
        <v>253.10911090456716</v>
      </c>
      <c r="E393" s="35">
        <v>268.69052798689529</v>
      </c>
      <c r="F393" s="35">
        <v>246.92558270033595</v>
      </c>
      <c r="G393" s="35">
        <v>255.28434809078774</v>
      </c>
      <c r="H393" s="35">
        <v>275.81237261284724</v>
      </c>
      <c r="I393" s="35">
        <v>296.63294472820746</v>
      </c>
      <c r="J393" s="35">
        <v>285.83251823150619</v>
      </c>
      <c r="K393" s="35">
        <v>323.06662386769267</v>
      </c>
      <c r="L393" s="35">
        <v>362.14959809724041</v>
      </c>
    </row>
    <row r="394" spans="1:12">
      <c r="A394" s="35">
        <v>232.09547860596331</v>
      </c>
      <c r="B394" s="35">
        <v>278.41985003676717</v>
      </c>
      <c r="C394" s="35">
        <v>246.08510177270952</v>
      </c>
      <c r="D394" s="35">
        <v>243.26346581380682</v>
      </c>
      <c r="E394" s="35">
        <v>280.40280069533907</v>
      </c>
      <c r="F394" s="35">
        <v>260.72739024048195</v>
      </c>
      <c r="G394" s="35">
        <v>266.56966459681672</v>
      </c>
      <c r="H394" s="35">
        <v>273.53865492585078</v>
      </c>
      <c r="I394" s="35">
        <v>290.77290232473854</v>
      </c>
      <c r="J394" s="35">
        <v>311.93362481807446</v>
      </c>
      <c r="K394" s="35">
        <v>322.28775586442595</v>
      </c>
      <c r="L394" s="35">
        <v>375.77950355109431</v>
      </c>
    </row>
    <row r="395" spans="1:12">
      <c r="A395" s="35">
        <v>229.42001896477686</v>
      </c>
      <c r="B395" s="35">
        <v>253.88275299266689</v>
      </c>
      <c r="C395" s="35">
        <v>228.79826824740579</v>
      </c>
      <c r="D395" s="35">
        <v>221.41704824168312</v>
      </c>
      <c r="E395" s="35">
        <v>265.83125351878135</v>
      </c>
      <c r="F395" s="35">
        <v>238.37127020952391</v>
      </c>
      <c r="G395" s="35">
        <v>248.05734065757349</v>
      </c>
      <c r="H395" s="35">
        <v>259.38798826457736</v>
      </c>
      <c r="I395" s="35">
        <v>260.50469813305995</v>
      </c>
      <c r="J395" s="35">
        <v>287.31146626811329</v>
      </c>
      <c r="K395" s="35">
        <v>293.0312711587431</v>
      </c>
      <c r="L395" s="35">
        <v>326.86572295478049</v>
      </c>
    </row>
    <row r="396" spans="1:12">
      <c r="A396" s="35">
        <v>262.43221365993202</v>
      </c>
      <c r="B396" s="35">
        <v>275.42773761454492</v>
      </c>
      <c r="C396" s="35">
        <v>245.88911685294929</v>
      </c>
      <c r="D396" s="35">
        <v>263.50660746555621</v>
      </c>
      <c r="E396" s="35">
        <v>288.19260864092706</v>
      </c>
      <c r="F396" s="35">
        <v>252.60007685954213</v>
      </c>
      <c r="G396" s="35">
        <v>257.89673710861717</v>
      </c>
      <c r="H396" s="35">
        <v>254.45348648699567</v>
      </c>
      <c r="I396" s="35">
        <v>294.41516209406626</v>
      </c>
      <c r="J396" s="35">
        <v>312.32025571585388</v>
      </c>
      <c r="K396" s="35">
        <v>335.36525817157593</v>
      </c>
      <c r="L396" s="35">
        <v>383.19937084226876</v>
      </c>
    </row>
    <row r="397" spans="1:12">
      <c r="A397" s="35">
        <v>241.52699460595571</v>
      </c>
      <c r="B397" s="35">
        <v>264.6064970999762</v>
      </c>
      <c r="C397" s="35">
        <v>240.93559387959442</v>
      </c>
      <c r="D397" s="35">
        <v>242.88081511364317</v>
      </c>
      <c r="E397" s="35">
        <v>294.51058648234488</v>
      </c>
      <c r="F397" s="35">
        <v>273.60057752676812</v>
      </c>
      <c r="G397" s="35">
        <v>263.71331756653825</v>
      </c>
      <c r="H397" s="35">
        <v>279.91273956004574</v>
      </c>
      <c r="I397" s="35">
        <v>310.08431252079242</v>
      </c>
      <c r="J397" s="35">
        <v>329.32209008721594</v>
      </c>
      <c r="K397" s="35">
        <v>342.99358463390286</v>
      </c>
      <c r="L397" s="35">
        <v>405.00259779408384</v>
      </c>
    </row>
    <row r="398" spans="1:12">
      <c r="A398" s="35">
        <v>268.6331434674147</v>
      </c>
      <c r="B398" s="35">
        <v>267.07442309895129</v>
      </c>
      <c r="C398" s="35">
        <v>250.47272056536727</v>
      </c>
      <c r="D398" s="35">
        <v>259.34225205880432</v>
      </c>
      <c r="E398" s="35">
        <v>298.34486910338035</v>
      </c>
      <c r="F398" s="35">
        <v>257.10977438551294</v>
      </c>
      <c r="G398" s="35">
        <v>260.67833805932588</v>
      </c>
      <c r="H398" s="35">
        <v>288.24416580439504</v>
      </c>
      <c r="I398" s="35">
        <v>298.79597316576906</v>
      </c>
      <c r="J398" s="35">
        <v>300.32950549102134</v>
      </c>
      <c r="K398" s="35">
        <v>332.60164754520542</v>
      </c>
      <c r="L398" s="35">
        <v>392.18608973539517</v>
      </c>
    </row>
    <row r="399" spans="1:12">
      <c r="A399" s="35">
        <v>249.06978259314695</v>
      </c>
      <c r="B399" s="35">
        <v>266.43434138405422</v>
      </c>
      <c r="C399" s="35">
        <v>252.19975910149822</v>
      </c>
      <c r="D399" s="35">
        <v>254.00214925333938</v>
      </c>
      <c r="E399" s="35">
        <v>288.71779540510056</v>
      </c>
      <c r="F399" s="35">
        <v>271.1144966378294</v>
      </c>
      <c r="G399" s="35">
        <v>274.09339929631557</v>
      </c>
      <c r="H399" s="35">
        <v>286.66686940351713</v>
      </c>
      <c r="I399" s="35">
        <v>299.50092665746257</v>
      </c>
      <c r="J399" s="35">
        <v>320.06438311330504</v>
      </c>
      <c r="K399" s="35">
        <v>326.29899024698875</v>
      </c>
      <c r="L399" s="35">
        <v>383.58481002187295</v>
      </c>
    </row>
    <row r="400" spans="1:12">
      <c r="A400" s="35">
        <v>226.73391863895927</v>
      </c>
      <c r="B400" s="35">
        <v>274.30201334282589</v>
      </c>
      <c r="C400" s="35">
        <v>250.31163580329553</v>
      </c>
      <c r="D400" s="35">
        <v>252.3606183144955</v>
      </c>
      <c r="E400" s="35">
        <v>266.88656161044054</v>
      </c>
      <c r="F400" s="35">
        <v>254.24193128153388</v>
      </c>
      <c r="G400" s="35">
        <v>271.46664732953082</v>
      </c>
      <c r="H400" s="35">
        <v>265.92470260547236</v>
      </c>
      <c r="I400" s="35">
        <v>280.160621233131</v>
      </c>
      <c r="J400" s="35">
        <v>308.32452396436935</v>
      </c>
      <c r="K400" s="35">
        <v>330.88910347883552</v>
      </c>
      <c r="L400" s="35">
        <v>385.51419646414826</v>
      </c>
    </row>
    <row r="401" spans="1:12">
      <c r="A401" s="35">
        <v>248.18069910484658</v>
      </c>
      <c r="B401" s="35">
        <v>278.21361358998604</v>
      </c>
      <c r="C401" s="35">
        <v>232.43758045498345</v>
      </c>
      <c r="D401" s="35">
        <v>228.77261003200036</v>
      </c>
      <c r="E401" s="35">
        <v>267.0437577809048</v>
      </c>
      <c r="F401" s="35">
        <v>242.95104454632477</v>
      </c>
      <c r="G401" s="35">
        <v>238.66394170917127</v>
      </c>
      <c r="H401" s="35">
        <v>248.83099280369098</v>
      </c>
      <c r="I401" s="35">
        <v>264.72783144148099</v>
      </c>
      <c r="J401" s="35">
        <v>265.50511541826171</v>
      </c>
      <c r="K401" s="35">
        <v>289.29483446927105</v>
      </c>
      <c r="L401" s="35">
        <v>315.84789705638002</v>
      </c>
    </row>
    <row r="402" spans="1:12">
      <c r="A402" s="35">
        <v>245.51499581563496</v>
      </c>
      <c r="B402" s="35">
        <v>264.77201875674888</v>
      </c>
      <c r="C402" s="35">
        <v>240.41141885920715</v>
      </c>
      <c r="D402" s="35">
        <v>233.42618844682846</v>
      </c>
      <c r="E402" s="35">
        <v>266.05932888556453</v>
      </c>
      <c r="F402" s="35">
        <v>253.68535730701086</v>
      </c>
      <c r="G402" s="35">
        <v>250.23799347509316</v>
      </c>
      <c r="H402" s="35">
        <v>262.29223937393283</v>
      </c>
      <c r="I402" s="35">
        <v>294.96799895663798</v>
      </c>
      <c r="J402" s="35">
        <v>282.46289336516156</v>
      </c>
      <c r="K402" s="35">
        <v>319.53719441636099</v>
      </c>
      <c r="L402" s="35">
        <v>332.08324347944216</v>
      </c>
    </row>
    <row r="403" spans="1:12">
      <c r="A403" s="35">
        <v>250.78303897068653</v>
      </c>
      <c r="B403" s="35">
        <v>266.69512158032535</v>
      </c>
      <c r="C403" s="35">
        <v>217.75962228873865</v>
      </c>
      <c r="D403" s="35">
        <v>235.11692791273543</v>
      </c>
      <c r="E403" s="35">
        <v>276.02835184350897</v>
      </c>
      <c r="F403" s="35">
        <v>235.1719038816272</v>
      </c>
      <c r="G403" s="35">
        <v>251.57027022431404</v>
      </c>
      <c r="H403" s="35">
        <v>260.95068065407793</v>
      </c>
      <c r="I403" s="35">
        <v>285.18703888903872</v>
      </c>
      <c r="J403" s="35">
        <v>284.16854225313011</v>
      </c>
      <c r="K403" s="35">
        <v>281.83377412533173</v>
      </c>
      <c r="L403" s="35">
        <v>344.0320167171127</v>
      </c>
    </row>
    <row r="404" spans="1:12">
      <c r="A404" s="35">
        <v>259.28039915545156</v>
      </c>
      <c r="B404" s="35">
        <v>275.54081949570764</v>
      </c>
      <c r="C404" s="35">
        <v>263.65652126383736</v>
      </c>
      <c r="D404" s="35">
        <v>242.91205530856587</v>
      </c>
      <c r="E404" s="35">
        <v>295.35566311692315</v>
      </c>
      <c r="F404" s="35">
        <v>251.69625931689032</v>
      </c>
      <c r="G404" s="35">
        <v>266.30413533172833</v>
      </c>
      <c r="H404" s="35">
        <v>256.33763194667597</v>
      </c>
      <c r="I404" s="35">
        <v>291.48157198082669</v>
      </c>
      <c r="J404" s="35">
        <v>306.85389750765182</v>
      </c>
      <c r="K404" s="35">
        <v>317.75607384837178</v>
      </c>
      <c r="L404" s="35">
        <v>366.5587064802782</v>
      </c>
    </row>
    <row r="405" spans="1:12">
      <c r="A405" s="35">
        <v>257.71088523416182</v>
      </c>
      <c r="B405" s="35">
        <v>248.54810996310377</v>
      </c>
      <c r="C405" s="35">
        <v>244.25188772763389</v>
      </c>
      <c r="D405" s="35">
        <v>248.59448784301131</v>
      </c>
      <c r="E405" s="35">
        <v>281.68011669940392</v>
      </c>
      <c r="F405" s="35">
        <v>265.50240154312911</v>
      </c>
      <c r="G405" s="35">
        <v>256.50138127761744</v>
      </c>
      <c r="H405" s="35">
        <v>277.69061721838762</v>
      </c>
      <c r="I405" s="35">
        <v>291.87973379434931</v>
      </c>
      <c r="J405" s="35">
        <v>311.48567400328051</v>
      </c>
      <c r="K405" s="35">
        <v>320.38856250635513</v>
      </c>
      <c r="L405" s="35">
        <v>376.50060981232525</v>
      </c>
    </row>
    <row r="406" spans="1:12">
      <c r="A406" s="35">
        <v>216.13452631983478</v>
      </c>
      <c r="B406" s="35">
        <v>266.83046750194262</v>
      </c>
      <c r="C406" s="35">
        <v>221.70235724997715</v>
      </c>
      <c r="D406" s="35">
        <v>228.29387013466666</v>
      </c>
      <c r="E406" s="35">
        <v>266.18685247935019</v>
      </c>
      <c r="F406" s="35">
        <v>237.42646908115663</v>
      </c>
      <c r="G406" s="35">
        <v>255.69718091535651</v>
      </c>
      <c r="H406" s="35">
        <v>253.95578744739728</v>
      </c>
      <c r="I406" s="35">
        <v>282.12737197022261</v>
      </c>
      <c r="J406" s="35">
        <v>292.55546574303929</v>
      </c>
      <c r="K406" s="35">
        <v>312.31135888145906</v>
      </c>
      <c r="L406" s="35">
        <v>362.06399245752777</v>
      </c>
    </row>
    <row r="407" spans="1:12">
      <c r="A407" s="35">
        <v>241.14005501974299</v>
      </c>
      <c r="B407" s="35">
        <v>263.29268327763015</v>
      </c>
      <c r="C407" s="35">
        <v>250.89699003902075</v>
      </c>
      <c r="D407" s="35">
        <v>243.94690073991751</v>
      </c>
      <c r="E407" s="35">
        <v>282.67200548722946</v>
      </c>
      <c r="F407" s="35">
        <v>266.49485598232502</v>
      </c>
      <c r="G407" s="35">
        <v>255.48005561451998</v>
      </c>
      <c r="H407" s="35">
        <v>262.18582783056286</v>
      </c>
      <c r="I407" s="35">
        <v>275.75859322034643</v>
      </c>
      <c r="J407" s="35">
        <v>310.07407588195929</v>
      </c>
      <c r="K407" s="35">
        <v>304.77972974988245</v>
      </c>
      <c r="L407" s="35">
        <v>348.30328401301341</v>
      </c>
    </row>
    <row r="408" spans="1:12">
      <c r="A408" s="35">
        <v>246.7638237242827</v>
      </c>
      <c r="B408" s="35">
        <v>268.54290612457726</v>
      </c>
      <c r="C408" s="35">
        <v>238.08797358993229</v>
      </c>
      <c r="D408" s="35">
        <v>261.81374304341193</v>
      </c>
      <c r="E408" s="35">
        <v>281.01827173772517</v>
      </c>
      <c r="F408" s="35">
        <v>266.6401921714484</v>
      </c>
      <c r="G408" s="35">
        <v>275.96043868697984</v>
      </c>
      <c r="H408" s="35">
        <v>277.95754352058532</v>
      </c>
      <c r="I408" s="35">
        <v>285.00082540047498</v>
      </c>
      <c r="J408" s="35">
        <v>308.88362304127736</v>
      </c>
      <c r="K408" s="35">
        <v>332.47638707932543</v>
      </c>
      <c r="L408" s="35">
        <v>387.2392044969867</v>
      </c>
    </row>
    <row r="409" spans="1:12">
      <c r="A409" s="35">
        <v>262.66089174233673</v>
      </c>
      <c r="B409" s="35">
        <v>262.16686484004407</v>
      </c>
      <c r="C409" s="35">
        <v>250.67654749289846</v>
      </c>
      <c r="D409" s="35">
        <v>242.81856325492646</v>
      </c>
      <c r="E409" s="35">
        <v>286.47135764149635</v>
      </c>
      <c r="F409" s="35">
        <v>251.03598335979913</v>
      </c>
      <c r="G409" s="35">
        <v>254.85853147560562</v>
      </c>
      <c r="H409" s="35">
        <v>279.72540457895167</v>
      </c>
      <c r="I409" s="35">
        <v>305.44068896072412</v>
      </c>
      <c r="J409" s="35">
        <v>314.14885672146988</v>
      </c>
      <c r="K409" s="35">
        <v>325.51381478222459</v>
      </c>
      <c r="L409" s="35">
        <v>382.62019949856301</v>
      </c>
    </row>
    <row r="410" spans="1:12">
      <c r="A410" s="35">
        <v>260.63203908966631</v>
      </c>
      <c r="B410" s="35">
        <v>262.18637606411625</v>
      </c>
      <c r="C410" s="35">
        <v>234.59718842069745</v>
      </c>
      <c r="D410" s="35">
        <v>255.06944639384238</v>
      </c>
      <c r="E410" s="35">
        <v>288.98697559795346</v>
      </c>
      <c r="F410" s="35">
        <v>247.78364990918143</v>
      </c>
      <c r="G410" s="35">
        <v>254.35686623199743</v>
      </c>
      <c r="H410" s="35">
        <v>270.97418591849714</v>
      </c>
      <c r="I410" s="35">
        <v>275.15620866401309</v>
      </c>
      <c r="J410" s="35">
        <v>294.75134825789814</v>
      </c>
      <c r="K410" s="35">
        <v>316.44711567301243</v>
      </c>
      <c r="L410" s="35">
        <v>365.43958849694417</v>
      </c>
    </row>
    <row r="411" spans="1:12">
      <c r="A411" s="35">
        <v>239.8424789559221</v>
      </c>
      <c r="B411" s="35">
        <v>267.95452789948035</v>
      </c>
      <c r="C411" s="35">
        <v>247.59185121874188</v>
      </c>
      <c r="D411" s="35">
        <v>254.36603428899659</v>
      </c>
      <c r="E411" s="35">
        <v>273.91722515183346</v>
      </c>
      <c r="F411" s="35">
        <v>235.24936114437318</v>
      </c>
      <c r="G411" s="35">
        <v>253.70652748134705</v>
      </c>
      <c r="H411" s="35">
        <v>259.23292194974016</v>
      </c>
      <c r="I411" s="35">
        <v>279.26679001688353</v>
      </c>
      <c r="J411" s="35">
        <v>295.47278069505535</v>
      </c>
      <c r="K411" s="35">
        <v>311.21096404607897</v>
      </c>
      <c r="L411" s="35">
        <v>330.44828415584112</v>
      </c>
    </row>
    <row r="412" spans="1:12">
      <c r="A412" s="35">
        <v>244.96217958595562</v>
      </c>
      <c r="B412" s="35">
        <v>273.56671878993262</v>
      </c>
      <c r="C412" s="35">
        <v>240.86601012908079</v>
      </c>
      <c r="D412" s="35">
        <v>234.10832590037759</v>
      </c>
      <c r="E412" s="35">
        <v>278.23435136724964</v>
      </c>
      <c r="F412" s="35">
        <v>259.15174569022213</v>
      </c>
      <c r="G412" s="35">
        <v>263.34667442833489</v>
      </c>
      <c r="H412" s="35">
        <v>258.84551228639759</v>
      </c>
      <c r="I412" s="35">
        <v>291.44169961610032</v>
      </c>
      <c r="J412" s="35">
        <v>316.15996055016279</v>
      </c>
      <c r="K412" s="35">
        <v>309.46778021135611</v>
      </c>
      <c r="L412" s="35">
        <v>385.78709103150794</v>
      </c>
    </row>
    <row r="413" spans="1:12">
      <c r="A413" s="35">
        <v>222.15054713473972</v>
      </c>
      <c r="B413" s="35">
        <v>259.6731960607197</v>
      </c>
      <c r="C413" s="35">
        <v>215.86244240327454</v>
      </c>
      <c r="D413" s="35">
        <v>235.84217406588681</v>
      </c>
      <c r="E413" s="35">
        <v>283.62346446820646</v>
      </c>
      <c r="F413" s="35">
        <v>238.20011639152781</v>
      </c>
      <c r="G413" s="35">
        <v>262.89389145356989</v>
      </c>
      <c r="H413" s="35">
        <v>254.46089843741035</v>
      </c>
      <c r="I413" s="35">
        <v>290.54784288349532</v>
      </c>
      <c r="J413" s="35">
        <v>328.64051792187581</v>
      </c>
      <c r="K413" s="35">
        <v>333.45107617522149</v>
      </c>
      <c r="L413" s="35">
        <v>390.21601855416787</v>
      </c>
    </row>
    <row r="414" spans="1:12">
      <c r="A414" s="35">
        <v>244.47491473216459</v>
      </c>
      <c r="B414" s="35">
        <v>257.35541709360956</v>
      </c>
      <c r="C414" s="35">
        <v>221.84170864274108</v>
      </c>
      <c r="D414" s="35">
        <v>230.64276830789217</v>
      </c>
      <c r="E414" s="35">
        <v>291.62935631893902</v>
      </c>
      <c r="F414" s="35">
        <v>258.08567020052794</v>
      </c>
      <c r="G414" s="35">
        <v>261.82970420570251</v>
      </c>
      <c r="H414" s="35">
        <v>248.76773598151263</v>
      </c>
      <c r="I414" s="35">
        <v>289.5630275307845</v>
      </c>
      <c r="J414" s="35">
        <v>316.58368802814584</v>
      </c>
      <c r="K414" s="35">
        <v>320.92461109998038</v>
      </c>
      <c r="L414" s="35">
        <v>366.11113045511206</v>
      </c>
    </row>
    <row r="415" spans="1:12">
      <c r="A415" s="35">
        <v>255.06193795038405</v>
      </c>
      <c r="B415" s="35">
        <v>274.33637215905827</v>
      </c>
      <c r="C415" s="35">
        <v>258.51111538500066</v>
      </c>
      <c r="D415" s="35">
        <v>240.37250653477804</v>
      </c>
      <c r="E415" s="35">
        <v>291.31433622028243</v>
      </c>
      <c r="F415" s="35">
        <v>257.18788006962598</v>
      </c>
      <c r="G415" s="35">
        <v>286.43214090257169</v>
      </c>
      <c r="H415" s="35">
        <v>277.99732729723416</v>
      </c>
      <c r="I415" s="35">
        <v>304.78214608459427</v>
      </c>
      <c r="J415" s="35">
        <v>325.00234675529651</v>
      </c>
      <c r="K415" s="35">
        <v>339.67465018719486</v>
      </c>
      <c r="L415" s="35">
        <v>400.629260978579</v>
      </c>
    </row>
    <row r="416" spans="1:12">
      <c r="A416" s="35">
        <v>251.6477168874122</v>
      </c>
      <c r="B416" s="35">
        <v>259.81182873720212</v>
      </c>
      <c r="C416" s="35">
        <v>242.91801908396397</v>
      </c>
      <c r="D416" s="35">
        <v>234.6892418074421</v>
      </c>
      <c r="E416" s="35">
        <v>251.62570391111868</v>
      </c>
      <c r="F416" s="35">
        <v>230.17127332082768</v>
      </c>
      <c r="G416" s="35">
        <v>223.97649045451496</v>
      </c>
      <c r="H416" s="35">
        <v>233.84978518050707</v>
      </c>
      <c r="I416" s="35">
        <v>256.23239644992009</v>
      </c>
      <c r="J416" s="35">
        <v>257.15571081871218</v>
      </c>
      <c r="K416" s="35">
        <v>264.38675114955691</v>
      </c>
      <c r="L416" s="35">
        <v>308.77402573231643</v>
      </c>
    </row>
    <row r="417" spans="1:12">
      <c r="A417" s="35">
        <v>258.65732553647752</v>
      </c>
      <c r="B417" s="35">
        <v>265.71062580747275</v>
      </c>
      <c r="C417" s="35">
        <v>263.21463756956757</v>
      </c>
      <c r="D417" s="35">
        <v>264.15880545195228</v>
      </c>
      <c r="E417" s="35">
        <v>308.00417679643152</v>
      </c>
      <c r="F417" s="35">
        <v>269.41994785973708</v>
      </c>
      <c r="G417" s="35">
        <v>283.30025967890822</v>
      </c>
      <c r="H417" s="35">
        <v>281.05301351726803</v>
      </c>
      <c r="I417" s="35">
        <v>326.49768415134474</v>
      </c>
      <c r="J417" s="35">
        <v>334.34010049501967</v>
      </c>
      <c r="K417" s="35">
        <v>371.80925761535104</v>
      </c>
      <c r="L417" s="35">
        <v>423.61392938459846</v>
      </c>
    </row>
    <row r="418" spans="1:12">
      <c r="A418" s="35">
        <v>238.72703295232964</v>
      </c>
      <c r="B418" s="35">
        <v>240.87500640267794</v>
      </c>
      <c r="C418" s="35">
        <v>228.51777777901495</v>
      </c>
      <c r="D418" s="35">
        <v>233.69424137574887</v>
      </c>
      <c r="E418" s="35">
        <v>257.53873904668166</v>
      </c>
      <c r="F418" s="35">
        <v>240.82392062692543</v>
      </c>
      <c r="G418" s="35">
        <v>225.53558453818152</v>
      </c>
      <c r="H418" s="35">
        <v>232.08070550727393</v>
      </c>
      <c r="I418" s="35">
        <v>248.52190041790237</v>
      </c>
      <c r="J418" s="35">
        <v>277.93167402153392</v>
      </c>
      <c r="K418" s="35">
        <v>274.99230496096374</v>
      </c>
      <c r="L418" s="35">
        <v>314.88966206795612</v>
      </c>
    </row>
    <row r="419" spans="1:12">
      <c r="A419" s="35">
        <v>228.00165482466841</v>
      </c>
      <c r="B419" s="35">
        <v>235.81912262332355</v>
      </c>
      <c r="C419" s="35">
        <v>238.70471556098346</v>
      </c>
      <c r="D419" s="35">
        <v>230.52466759388622</v>
      </c>
      <c r="E419" s="35">
        <v>272.18178350821694</v>
      </c>
      <c r="F419" s="35">
        <v>247.97269119549745</v>
      </c>
      <c r="G419" s="35">
        <v>262.69721731787115</v>
      </c>
      <c r="H419" s="35">
        <v>255.29211426907935</v>
      </c>
      <c r="I419" s="35">
        <v>291.99291162724256</v>
      </c>
      <c r="J419" s="35">
        <v>309.6754124230489</v>
      </c>
      <c r="K419" s="35">
        <v>303.47496432987964</v>
      </c>
      <c r="L419" s="35">
        <v>384.11792224120319</v>
      </c>
    </row>
    <row r="420" spans="1:12">
      <c r="A420" s="35">
        <v>271.29421771491332</v>
      </c>
      <c r="B420" s="35">
        <v>261.19126602541627</v>
      </c>
      <c r="C420" s="35">
        <v>241.76726558489318</v>
      </c>
      <c r="D420" s="35">
        <v>251.17930912925883</v>
      </c>
      <c r="E420" s="35">
        <v>281.2756669312875</v>
      </c>
      <c r="F420" s="35">
        <v>245.9615788695092</v>
      </c>
      <c r="G420" s="35">
        <v>262.06993482300123</v>
      </c>
      <c r="H420" s="35">
        <v>249.83271847071771</v>
      </c>
      <c r="I420" s="35">
        <v>278.51657619379682</v>
      </c>
      <c r="J420" s="35">
        <v>313.33760149723332</v>
      </c>
      <c r="K420" s="35">
        <v>308.98869225851621</v>
      </c>
      <c r="L420" s="35">
        <v>365.75462258749224</v>
      </c>
    </row>
    <row r="421" spans="1:12">
      <c r="A421" s="35">
        <v>214.57895355743148</v>
      </c>
      <c r="B421" s="35">
        <v>259.94882800542746</v>
      </c>
      <c r="C421" s="35">
        <v>230.67267926049752</v>
      </c>
      <c r="D421" s="35">
        <v>233.90485160478053</v>
      </c>
      <c r="E421" s="35">
        <v>294.09420682497432</v>
      </c>
      <c r="F421" s="35">
        <v>253.78823752457907</v>
      </c>
      <c r="G421" s="35">
        <v>285.7029555966833</v>
      </c>
      <c r="H421" s="35">
        <v>260.46255230041351</v>
      </c>
      <c r="I421" s="35">
        <v>302.25486243697986</v>
      </c>
      <c r="J421" s="35">
        <v>330.47125146388538</v>
      </c>
      <c r="K421" s="35">
        <v>321.81249403546519</v>
      </c>
      <c r="L421" s="35">
        <v>398.31995562034314</v>
      </c>
    </row>
    <row r="422" spans="1:12">
      <c r="A422" s="35">
        <v>244.53213539136812</v>
      </c>
      <c r="B422" s="35">
        <v>259.37495846056532</v>
      </c>
      <c r="C422" s="35">
        <v>242.08752543964269</v>
      </c>
      <c r="D422" s="35">
        <v>235.11403175120711</v>
      </c>
      <c r="E422" s="35">
        <v>262.83783400258585</v>
      </c>
      <c r="F422" s="35">
        <v>235.78108264901769</v>
      </c>
      <c r="G422" s="35">
        <v>251.85841047003183</v>
      </c>
      <c r="H422" s="35">
        <v>250.08531127676704</v>
      </c>
      <c r="I422" s="35">
        <v>276.76843978618302</v>
      </c>
      <c r="J422" s="35">
        <v>286.63030464433808</v>
      </c>
      <c r="K422" s="35">
        <v>307.1290125235036</v>
      </c>
      <c r="L422" s="35">
        <v>371.38366107199693</v>
      </c>
    </row>
    <row r="423" spans="1:12">
      <c r="A423" s="35">
        <v>232.13291911126029</v>
      </c>
      <c r="B423" s="35">
        <v>257.96572027101683</v>
      </c>
      <c r="C423" s="35">
        <v>239.6470773759138</v>
      </c>
      <c r="D423" s="35">
        <v>237.74374323331685</v>
      </c>
      <c r="E423" s="35">
        <v>278.98807192175025</v>
      </c>
      <c r="F423" s="35">
        <v>241.06678388335561</v>
      </c>
      <c r="G423" s="35">
        <v>239.1344903622855</v>
      </c>
      <c r="H423" s="35">
        <v>260.28992455144692</v>
      </c>
      <c r="I423" s="35">
        <v>285.66006601273398</v>
      </c>
      <c r="J423" s="35">
        <v>288.69834644681038</v>
      </c>
      <c r="K423" s="35">
        <v>306.58185882950016</v>
      </c>
      <c r="L423" s="35">
        <v>345.0665333310443</v>
      </c>
    </row>
    <row r="424" spans="1:12">
      <c r="A424" s="35">
        <v>230.51510483879403</v>
      </c>
      <c r="B424" s="35">
        <v>283.37544502095659</v>
      </c>
      <c r="C424" s="35">
        <v>236.5940574504759</v>
      </c>
      <c r="D424" s="35">
        <v>233.41296649879638</v>
      </c>
      <c r="E424" s="35">
        <v>278.70750608605243</v>
      </c>
      <c r="F424" s="35">
        <v>226.22881631979209</v>
      </c>
      <c r="G424" s="35">
        <v>250.60043945447245</v>
      </c>
      <c r="H424" s="35">
        <v>250.89514091897638</v>
      </c>
      <c r="I424" s="35">
        <v>270.03305000156445</v>
      </c>
      <c r="J424" s="35">
        <v>285.60201571628909</v>
      </c>
      <c r="K424" s="35">
        <v>303.46816116127525</v>
      </c>
      <c r="L424" s="35">
        <v>340.60057739221509</v>
      </c>
    </row>
    <row r="425" spans="1:12">
      <c r="A425" s="35">
        <v>240.38385302085197</v>
      </c>
      <c r="B425" s="35">
        <v>251.59880957471756</v>
      </c>
      <c r="C425" s="35">
        <v>242.30029649697721</v>
      </c>
      <c r="D425" s="35">
        <v>227.7191457690451</v>
      </c>
      <c r="E425" s="35">
        <v>259.3969065563972</v>
      </c>
      <c r="F425" s="35">
        <v>240.95366182831458</v>
      </c>
      <c r="G425" s="35">
        <v>267.2789800063328</v>
      </c>
      <c r="H425" s="35">
        <v>257.46398342631772</v>
      </c>
      <c r="I425" s="35">
        <v>275.96645763068216</v>
      </c>
      <c r="J425" s="35">
        <v>288.64014061171463</v>
      </c>
      <c r="K425" s="35">
        <v>300.30859774450613</v>
      </c>
      <c r="L425" s="35">
        <v>361.54339305778325</v>
      </c>
    </row>
    <row r="426" spans="1:12">
      <c r="A426" s="35">
        <v>237.93412174816507</v>
      </c>
      <c r="B426" s="35">
        <v>262.23220140099136</v>
      </c>
      <c r="C426" s="35">
        <v>273.36401530562614</v>
      </c>
      <c r="D426" s="35">
        <v>252.62732532104502</v>
      </c>
      <c r="E426" s="35">
        <v>314.31486632760448</v>
      </c>
      <c r="F426" s="35">
        <v>285.91973786538983</v>
      </c>
      <c r="G426" s="35">
        <v>293.32857998027208</v>
      </c>
      <c r="H426" s="35">
        <v>292.24098078838205</v>
      </c>
      <c r="I426" s="35">
        <v>336.22008434284601</v>
      </c>
      <c r="J426" s="35">
        <v>334.55358226712872</v>
      </c>
      <c r="K426" s="35">
        <v>356.58290184966052</v>
      </c>
      <c r="L426" s="35">
        <v>427.24162279204472</v>
      </c>
    </row>
    <row r="427" spans="1:12">
      <c r="A427" s="35">
        <v>256.45545574783847</v>
      </c>
      <c r="B427" s="35">
        <v>240.75270933528719</v>
      </c>
      <c r="C427" s="35">
        <v>237.71975879932216</v>
      </c>
      <c r="D427" s="35">
        <v>261.10294528377563</v>
      </c>
      <c r="E427" s="35">
        <v>284.24036174742207</v>
      </c>
      <c r="F427" s="35">
        <v>253.41963577243862</v>
      </c>
      <c r="G427" s="35">
        <v>266.50475722837166</v>
      </c>
      <c r="H427" s="35">
        <v>277.2331418058576</v>
      </c>
      <c r="I427" s="35">
        <v>306.73417544651261</v>
      </c>
      <c r="J427" s="35">
        <v>304.46594473007389</v>
      </c>
      <c r="K427" s="35">
        <v>339.29619997628282</v>
      </c>
      <c r="L427" s="35">
        <v>381.21676957247621</v>
      </c>
    </row>
    <row r="428" spans="1:12">
      <c r="A428" s="35">
        <v>252.09282155159974</v>
      </c>
      <c r="B428" s="35">
        <v>279.02880922908787</v>
      </c>
      <c r="C428" s="35">
        <v>233.8454757915473</v>
      </c>
      <c r="D428" s="35">
        <v>245.73722321180239</v>
      </c>
      <c r="E428" s="35">
        <v>285.32949379376004</v>
      </c>
      <c r="F428" s="35">
        <v>253.71404678610037</v>
      </c>
      <c r="G428" s="35">
        <v>257.59303728577191</v>
      </c>
      <c r="H428" s="35">
        <v>256.85002598414042</v>
      </c>
      <c r="I428" s="35">
        <v>307.75338854640034</v>
      </c>
      <c r="J428" s="35">
        <v>315.5243328066764</v>
      </c>
      <c r="K428" s="35">
        <v>306.93041085651896</v>
      </c>
      <c r="L428" s="35">
        <v>366.63599464158642</v>
      </c>
    </row>
    <row r="429" spans="1:12">
      <c r="A429" s="35">
        <v>227.87541269780704</v>
      </c>
      <c r="B429" s="35">
        <v>269.95060780695218</v>
      </c>
      <c r="C429" s="35">
        <v>228.72359401304817</v>
      </c>
      <c r="D429" s="35">
        <v>222.73815013032655</v>
      </c>
      <c r="E429" s="35">
        <v>255.61142016781497</v>
      </c>
      <c r="F429" s="35">
        <v>232.81711094492908</v>
      </c>
      <c r="G429" s="35">
        <v>248.20516133991308</v>
      </c>
      <c r="H429" s="35">
        <v>265.35878721103677</v>
      </c>
      <c r="I429" s="35">
        <v>268.62727868018777</v>
      </c>
      <c r="J429" s="35">
        <v>279.5315683152794</v>
      </c>
      <c r="K429" s="35">
        <v>296.92352945041659</v>
      </c>
      <c r="L429" s="35">
        <v>346.73363627667538</v>
      </c>
    </row>
    <row r="430" spans="1:12">
      <c r="A430" s="35">
        <v>249.37879962540566</v>
      </c>
      <c r="B430" s="35">
        <v>265.55824835347761</v>
      </c>
      <c r="C430" s="35">
        <v>229.78060005805537</v>
      </c>
      <c r="D430" s="35">
        <v>260.21629996016384</v>
      </c>
      <c r="E430" s="35">
        <v>277.68915032812902</v>
      </c>
      <c r="F430" s="35">
        <v>252.51783001910036</v>
      </c>
      <c r="G430" s="35">
        <v>255.96323005224514</v>
      </c>
      <c r="H430" s="35">
        <v>270.55812582750923</v>
      </c>
      <c r="I430" s="35">
        <v>288.78541152933349</v>
      </c>
      <c r="J430" s="35">
        <v>313.92455730074465</v>
      </c>
      <c r="K430" s="35">
        <v>316.08555497993223</v>
      </c>
      <c r="L430" s="35">
        <v>360.20040860890305</v>
      </c>
    </row>
    <row r="431" spans="1:12">
      <c r="A431" s="35">
        <v>232.60847131247263</v>
      </c>
      <c r="B431" s="35">
        <v>261.47639878196492</v>
      </c>
      <c r="C431" s="35">
        <v>231.08260262346465</v>
      </c>
      <c r="D431" s="35">
        <v>227.63132168547614</v>
      </c>
      <c r="E431" s="35">
        <v>289.44702138810044</v>
      </c>
      <c r="F431" s="35">
        <v>252.84594632323856</v>
      </c>
      <c r="G431" s="35">
        <v>257.54561430088103</v>
      </c>
      <c r="H431" s="35">
        <v>261.15015990510364</v>
      </c>
      <c r="I431" s="35">
        <v>281.51902008621204</v>
      </c>
      <c r="J431" s="35">
        <v>310.81245128370131</v>
      </c>
      <c r="K431" s="35">
        <v>300.38413282389672</v>
      </c>
      <c r="L431" s="35">
        <v>380.16597437951333</v>
      </c>
    </row>
    <row r="432" spans="1:12">
      <c r="A432" s="35">
        <v>244.36039273559311</v>
      </c>
      <c r="B432" s="35">
        <v>262.56588944310374</v>
      </c>
      <c r="C432" s="35">
        <v>249.08042247940259</v>
      </c>
      <c r="D432" s="35">
        <v>243.23081640344992</v>
      </c>
      <c r="E432" s="35">
        <v>286.1294269372201</v>
      </c>
      <c r="F432" s="35">
        <v>252.87595706760209</v>
      </c>
      <c r="G432" s="35">
        <v>272.95120441425865</v>
      </c>
      <c r="H432" s="35">
        <v>263.79019790576291</v>
      </c>
      <c r="I432" s="35">
        <v>301.87095066270695</v>
      </c>
      <c r="J432" s="35">
        <v>310.37335286862134</v>
      </c>
      <c r="K432" s="35">
        <v>331.21534721326469</v>
      </c>
      <c r="L432" s="35">
        <v>383.3484907571588</v>
      </c>
    </row>
    <row r="433" spans="1:12">
      <c r="A433" s="35">
        <v>251.19409542738546</v>
      </c>
      <c r="B433" s="35">
        <v>279.391620908307</v>
      </c>
      <c r="C433" s="35">
        <v>246.75746777465133</v>
      </c>
      <c r="D433" s="35">
        <v>250.80808127278277</v>
      </c>
      <c r="E433" s="35">
        <v>280.1830598433661</v>
      </c>
      <c r="F433" s="35">
        <v>254.68648533548739</v>
      </c>
      <c r="G433" s="35">
        <v>264.66323472927951</v>
      </c>
      <c r="H433" s="35">
        <v>266.70992756220085</v>
      </c>
      <c r="I433" s="35">
        <v>276.95398645807342</v>
      </c>
      <c r="J433" s="35">
        <v>312.82054228266225</v>
      </c>
      <c r="K433" s="35">
        <v>321.68933670390254</v>
      </c>
      <c r="L433" s="35">
        <v>381.45649195714634</v>
      </c>
    </row>
    <row r="434" spans="1:12">
      <c r="A434" s="35">
        <v>224.86807410960898</v>
      </c>
      <c r="B434" s="35">
        <v>255.01502010819988</v>
      </c>
      <c r="C434" s="35">
        <v>232.58989699574298</v>
      </c>
      <c r="D434" s="35">
        <v>216.86363154396332</v>
      </c>
      <c r="E434" s="35">
        <v>256.3471224062838</v>
      </c>
      <c r="F434" s="35">
        <v>234.87256340577107</v>
      </c>
      <c r="G434" s="35">
        <v>224.90267610624292</v>
      </c>
      <c r="H434" s="35">
        <v>243.17455118367963</v>
      </c>
      <c r="I434" s="35">
        <v>260.18910637952337</v>
      </c>
      <c r="J434" s="35">
        <v>266.05637645497887</v>
      </c>
      <c r="K434" s="35">
        <v>291.01826679291423</v>
      </c>
      <c r="L434" s="35">
        <v>337.89044784484298</v>
      </c>
    </row>
    <row r="435" spans="1:12">
      <c r="A435" s="35">
        <v>254.99503927641945</v>
      </c>
      <c r="B435" s="35">
        <v>248.5056059790881</v>
      </c>
      <c r="C435" s="35">
        <v>244.31452231448088</v>
      </c>
      <c r="D435" s="35">
        <v>239.71229920396613</v>
      </c>
      <c r="E435" s="35">
        <v>301.23354220457844</v>
      </c>
      <c r="F435" s="35">
        <v>254.47663221679585</v>
      </c>
      <c r="G435" s="35">
        <v>255.98543887507694</v>
      </c>
      <c r="H435" s="35">
        <v>265.02326225347571</v>
      </c>
      <c r="I435" s="35">
        <v>279.82123437597357</v>
      </c>
      <c r="J435" s="35">
        <v>289.32139495433103</v>
      </c>
      <c r="K435" s="35">
        <v>312.85960037635579</v>
      </c>
      <c r="L435" s="35">
        <v>355.95142954726185</v>
      </c>
    </row>
    <row r="436" spans="1:12">
      <c r="A436" s="35">
        <v>231.11859177761696</v>
      </c>
      <c r="B436" s="35">
        <v>266.14847479389107</v>
      </c>
      <c r="C436" s="35">
        <v>255.79864342879026</v>
      </c>
      <c r="D436" s="35">
        <v>249.09786929418391</v>
      </c>
      <c r="E436" s="35">
        <v>284.0130306193787</v>
      </c>
      <c r="F436" s="35">
        <v>244.17892726194981</v>
      </c>
      <c r="G436" s="35">
        <v>256.74757253984637</v>
      </c>
      <c r="H436" s="35">
        <v>278.33467588923651</v>
      </c>
      <c r="I436" s="35">
        <v>281.00140291254388</v>
      </c>
      <c r="J436" s="35">
        <v>294.43381594528103</v>
      </c>
      <c r="K436" s="35">
        <v>316.15304555143928</v>
      </c>
      <c r="L436" s="35">
        <v>375.55859239620679</v>
      </c>
    </row>
    <row r="437" spans="1:12">
      <c r="A437" s="35">
        <v>250.12144227166792</v>
      </c>
      <c r="B437" s="35">
        <v>266.16980738332859</v>
      </c>
      <c r="C437" s="35">
        <v>233.12625940097206</v>
      </c>
      <c r="D437" s="35">
        <v>246.82741962073084</v>
      </c>
      <c r="E437" s="35">
        <v>268.95682021717028</v>
      </c>
      <c r="F437" s="35">
        <v>248.9400706598837</v>
      </c>
      <c r="G437" s="35">
        <v>244.32150719321291</v>
      </c>
      <c r="H437" s="35">
        <v>255.32318310644212</v>
      </c>
      <c r="I437" s="35">
        <v>295.37540924981874</v>
      </c>
      <c r="J437" s="35">
        <v>283.26872049526389</v>
      </c>
      <c r="K437" s="35">
        <v>305.61931795481746</v>
      </c>
      <c r="L437" s="35">
        <v>361.53877675928697</v>
      </c>
    </row>
    <row r="438" spans="1:12">
      <c r="A438" s="35">
        <v>255.05126378785624</v>
      </c>
      <c r="B438" s="35">
        <v>255.24042572320769</v>
      </c>
      <c r="C438" s="35">
        <v>234.7406322721495</v>
      </c>
      <c r="D438" s="35">
        <v>221.43952073200478</v>
      </c>
      <c r="E438" s="35">
        <v>271.16340408313437</v>
      </c>
      <c r="F438" s="35">
        <v>237.767373865698</v>
      </c>
      <c r="G438" s="35">
        <v>246.62136854184482</v>
      </c>
      <c r="H438" s="35">
        <v>255.32187173429142</v>
      </c>
      <c r="I438" s="35">
        <v>283.29084732223305</v>
      </c>
      <c r="J438" s="35">
        <v>293.03070362141841</v>
      </c>
      <c r="K438" s="35">
        <v>302.20462419044713</v>
      </c>
      <c r="L438" s="35">
        <v>358.81765389032284</v>
      </c>
    </row>
    <row r="439" spans="1:12">
      <c r="A439" s="35">
        <v>255.99632752900891</v>
      </c>
      <c r="B439" s="35">
        <v>265.78888520276439</v>
      </c>
      <c r="C439" s="35">
        <v>254.28778839658355</v>
      </c>
      <c r="D439" s="35">
        <v>269.25077445043394</v>
      </c>
      <c r="E439" s="35">
        <v>297.10684605216824</v>
      </c>
      <c r="F439" s="35">
        <v>273.85409997912751</v>
      </c>
      <c r="G439" s="35">
        <v>300.3964815532014</v>
      </c>
      <c r="H439" s="35">
        <v>304.46167904736012</v>
      </c>
      <c r="I439" s="35">
        <v>326.2228028709352</v>
      </c>
      <c r="J439" s="35">
        <v>344.77781232189494</v>
      </c>
      <c r="K439" s="35">
        <v>371.43067543282865</v>
      </c>
      <c r="L439" s="35">
        <v>444.46926969747273</v>
      </c>
    </row>
    <row r="440" spans="1:12">
      <c r="A440" s="35">
        <v>229.49307668274045</v>
      </c>
      <c r="B440" s="35">
        <v>249.35879981024729</v>
      </c>
      <c r="C440" s="35">
        <v>216.97532330437218</v>
      </c>
      <c r="D440" s="35">
        <v>219.77874412745348</v>
      </c>
      <c r="E440" s="35">
        <v>255.65749765858436</v>
      </c>
      <c r="F440" s="35">
        <v>244.27628730079292</v>
      </c>
      <c r="G440" s="35">
        <v>245.30910692594949</v>
      </c>
      <c r="H440" s="35">
        <v>258.3659108019919</v>
      </c>
      <c r="I440" s="35">
        <v>287.48834433245349</v>
      </c>
      <c r="J440" s="35">
        <v>292.09716394663661</v>
      </c>
      <c r="K440" s="35">
        <v>301.47585654693711</v>
      </c>
      <c r="L440" s="35">
        <v>367.2186690902044</v>
      </c>
    </row>
    <row r="441" spans="1:12">
      <c r="A441" s="35">
        <v>233.00878887851522</v>
      </c>
      <c r="B441" s="35">
        <v>238.88695471907079</v>
      </c>
      <c r="C441" s="35">
        <v>226.7528460560861</v>
      </c>
      <c r="D441" s="35">
        <v>242.74724461750966</v>
      </c>
      <c r="E441" s="35">
        <v>274.30588075695823</v>
      </c>
      <c r="F441" s="35">
        <v>247.68359766120048</v>
      </c>
      <c r="G441" s="35">
        <v>262.78168254145572</v>
      </c>
      <c r="H441" s="35">
        <v>256.63343134238897</v>
      </c>
      <c r="I441" s="35">
        <v>290.25584631252582</v>
      </c>
      <c r="J441" s="35">
        <v>305.33438753869149</v>
      </c>
      <c r="K441" s="35">
        <v>323.88940262920727</v>
      </c>
      <c r="L441" s="35">
        <v>368.00252432761903</v>
      </c>
    </row>
    <row r="442" spans="1:12">
      <c r="A442" s="35">
        <v>246.69409059506324</v>
      </c>
      <c r="B442" s="35">
        <v>270.92170276932239</v>
      </c>
      <c r="C442" s="35">
        <v>249.09646248360187</v>
      </c>
      <c r="D442" s="35">
        <v>255.71785797413267</v>
      </c>
      <c r="E442" s="35">
        <v>307.31881139689074</v>
      </c>
      <c r="F442" s="35">
        <v>261.04131936390007</v>
      </c>
      <c r="G442" s="35">
        <v>269.48369954913505</v>
      </c>
      <c r="H442" s="35">
        <v>280.64678486274329</v>
      </c>
      <c r="I442" s="35">
        <v>312.54767160939298</v>
      </c>
      <c r="J442" s="35">
        <v>322.20749324147198</v>
      </c>
      <c r="K442" s="35">
        <v>345.89510109256798</v>
      </c>
      <c r="L442" s="35">
        <v>408.3652756841845</v>
      </c>
    </row>
    <row r="443" spans="1:12">
      <c r="A443" s="35">
        <v>248.68765938326985</v>
      </c>
      <c r="B443" s="35">
        <v>257.61995567809112</v>
      </c>
      <c r="C443" s="35">
        <v>239.86310507513974</v>
      </c>
      <c r="D443" s="35">
        <v>237.88746867791465</v>
      </c>
      <c r="E443" s="35">
        <v>278.98961928719376</v>
      </c>
      <c r="F443" s="35">
        <v>241.38687090713719</v>
      </c>
      <c r="G443" s="35">
        <v>253.31324902399584</v>
      </c>
      <c r="H443" s="35">
        <v>264.98474998401247</v>
      </c>
      <c r="I443" s="35">
        <v>265.8170149127335</v>
      </c>
      <c r="J443" s="35">
        <v>283.2021565580219</v>
      </c>
      <c r="K443" s="35">
        <v>301.41966602599689</v>
      </c>
      <c r="L443" s="35">
        <v>331.47409771142924</v>
      </c>
    </row>
    <row r="444" spans="1:12">
      <c r="A444" s="35">
        <v>245.41072032726564</v>
      </c>
      <c r="B444" s="35">
        <v>272.43912295725772</v>
      </c>
      <c r="C444" s="35">
        <v>246.11073969389383</v>
      </c>
      <c r="D444" s="35">
        <v>254.14401637839168</v>
      </c>
      <c r="E444" s="35">
        <v>288.82969613208377</v>
      </c>
      <c r="F444" s="35">
        <v>267.41005839507955</v>
      </c>
      <c r="G444" s="35">
        <v>260.30912925586631</v>
      </c>
      <c r="H444" s="35">
        <v>259.28551869365822</v>
      </c>
      <c r="I444" s="35">
        <v>295.29115578641159</v>
      </c>
      <c r="J444" s="35">
        <v>302.71891199936658</v>
      </c>
      <c r="K444" s="35">
        <v>329.08129603375039</v>
      </c>
      <c r="L444" s="35">
        <v>365.41968344334668</v>
      </c>
    </row>
    <row r="445" spans="1:12">
      <c r="A445" s="35">
        <v>228.14053116996888</v>
      </c>
      <c r="B445" s="35">
        <v>263.21666949688137</v>
      </c>
      <c r="C445" s="35">
        <v>241.92886641393002</v>
      </c>
      <c r="D445" s="35">
        <v>232.51256248575771</v>
      </c>
      <c r="E445" s="35">
        <v>270.27646372552493</v>
      </c>
      <c r="F445" s="35">
        <v>229.84945671567047</v>
      </c>
      <c r="G445" s="35">
        <v>227.76496606694474</v>
      </c>
      <c r="H445" s="35">
        <v>261.28565351901426</v>
      </c>
      <c r="I445" s="35">
        <v>261.1104450081985</v>
      </c>
      <c r="J445" s="35">
        <v>278.65528320062651</v>
      </c>
      <c r="K445" s="35">
        <v>286.64730281637958</v>
      </c>
      <c r="L445" s="35">
        <v>346.06390677830149</v>
      </c>
    </row>
    <row r="446" spans="1:12">
      <c r="A446" s="35">
        <v>255.29170381130615</v>
      </c>
      <c r="B446" s="35">
        <v>244.94970406746634</v>
      </c>
      <c r="C446" s="35">
        <v>253.97172519570853</v>
      </c>
      <c r="D446" s="35">
        <v>245.49228690157915</v>
      </c>
      <c r="E446" s="35">
        <v>277.44954493265391</v>
      </c>
      <c r="F446" s="35">
        <v>264.91876627417258</v>
      </c>
      <c r="G446" s="35">
        <v>279.19211729140744</v>
      </c>
      <c r="H446" s="35">
        <v>277.70306662936883</v>
      </c>
      <c r="I446" s="35">
        <v>293.96941230181437</v>
      </c>
      <c r="J446" s="35">
        <v>323.8579824191811</v>
      </c>
      <c r="K446" s="35">
        <v>345.29417264547442</v>
      </c>
      <c r="L446" s="35">
        <v>392.37708867966387</v>
      </c>
    </row>
    <row r="447" spans="1:12">
      <c r="A447" s="35">
        <v>222.61783629349921</v>
      </c>
      <c r="B447" s="35">
        <v>262.74841936022358</v>
      </c>
      <c r="C447" s="35">
        <v>230.64237858126495</v>
      </c>
      <c r="D447" s="35">
        <v>241.01511394839974</v>
      </c>
      <c r="E447" s="35">
        <v>263.76551516488814</v>
      </c>
      <c r="F447" s="35">
        <v>224.66076630731686</v>
      </c>
      <c r="G447" s="35">
        <v>254.50606441050292</v>
      </c>
      <c r="H447" s="35">
        <v>252.06290440172128</v>
      </c>
      <c r="I447" s="35">
        <v>269.61236131692084</v>
      </c>
      <c r="J447" s="35">
        <v>281.90285777529328</v>
      </c>
      <c r="K447" s="35">
        <v>290.86504046604745</v>
      </c>
      <c r="L447" s="35">
        <v>336.51909202185755</v>
      </c>
    </row>
    <row r="448" spans="1:12">
      <c r="A448" s="35">
        <v>261.65508300016148</v>
      </c>
      <c r="B448" s="35">
        <v>271.9934775005608</v>
      </c>
      <c r="C448" s="35">
        <v>239.67177463430434</v>
      </c>
      <c r="D448" s="35">
        <v>242.03486902281469</v>
      </c>
      <c r="E448" s="35">
        <v>268.52517989948495</v>
      </c>
      <c r="F448" s="35">
        <v>238.48667020451916</v>
      </c>
      <c r="G448" s="35">
        <v>250.12155320038735</v>
      </c>
      <c r="H448" s="35">
        <v>251.88440290463228</v>
      </c>
      <c r="I448" s="35">
        <v>270.84584712980728</v>
      </c>
      <c r="J448" s="35">
        <v>283.63057446605876</v>
      </c>
      <c r="K448" s="35">
        <v>297.99098041387953</v>
      </c>
      <c r="L448" s="35">
        <v>349.60746292150918</v>
      </c>
    </row>
    <row r="449" spans="1:12">
      <c r="A449" s="35">
        <v>234.65971212847583</v>
      </c>
      <c r="B449" s="35">
        <v>279.98427484808951</v>
      </c>
      <c r="C449" s="35">
        <v>245.3707832515841</v>
      </c>
      <c r="D449" s="35">
        <v>232.53606144328089</v>
      </c>
      <c r="E449" s="35">
        <v>276.60309397203667</v>
      </c>
      <c r="F449" s="35">
        <v>273.94801077642887</v>
      </c>
      <c r="G449" s="35">
        <v>246.08583526555609</v>
      </c>
      <c r="H449" s="35">
        <v>277.84274835098182</v>
      </c>
      <c r="I449" s="35">
        <v>280.59763730789251</v>
      </c>
      <c r="J449" s="35">
        <v>322.53933571142443</v>
      </c>
      <c r="K449" s="35">
        <v>322.93973022423177</v>
      </c>
      <c r="L449" s="35">
        <v>368.9669464656962</v>
      </c>
    </row>
    <row r="450" spans="1:12">
      <c r="A450" s="35">
        <v>253.94789883553199</v>
      </c>
      <c r="B450" s="35">
        <v>264.03953608303453</v>
      </c>
      <c r="C450" s="35">
        <v>241.39643600522965</v>
      </c>
      <c r="D450" s="35">
        <v>236.72148343199484</v>
      </c>
      <c r="E450" s="35">
        <v>280.19906683090636</v>
      </c>
      <c r="F450" s="35">
        <v>262.53862326510722</v>
      </c>
      <c r="G450" s="35">
        <v>261.90545645166821</v>
      </c>
      <c r="H450" s="35">
        <v>261.88899281829754</v>
      </c>
      <c r="I450" s="35">
        <v>293.09728170631587</v>
      </c>
      <c r="J450" s="35">
        <v>301.03958681760383</v>
      </c>
      <c r="K450" s="35">
        <v>332.20130621461942</v>
      </c>
      <c r="L450" s="35">
        <v>388.47575285958942</v>
      </c>
    </row>
    <row r="451" spans="1:12">
      <c r="A451" s="35">
        <v>240.19993130859601</v>
      </c>
      <c r="B451" s="35">
        <v>250.38252652351156</v>
      </c>
      <c r="C451" s="35">
        <v>240.81813523229388</v>
      </c>
      <c r="D451" s="35">
        <v>244.44969150268477</v>
      </c>
      <c r="E451" s="35">
        <v>289.48995698321261</v>
      </c>
      <c r="F451" s="35">
        <v>250.31593168582756</v>
      </c>
      <c r="G451" s="35">
        <v>245.94754852771644</v>
      </c>
      <c r="H451" s="35">
        <v>263.50617803602438</v>
      </c>
      <c r="I451" s="35">
        <v>285.91778508527739</v>
      </c>
      <c r="J451" s="35">
        <v>307.48440174601501</v>
      </c>
      <c r="K451" s="35">
        <v>324.47021746529339</v>
      </c>
      <c r="L451" s="35">
        <v>374.20438552918915</v>
      </c>
    </row>
    <row r="452" spans="1:12">
      <c r="A452" s="35">
        <v>238.54269059555588</v>
      </c>
      <c r="B452" s="35">
        <v>249.5694769994299</v>
      </c>
      <c r="C452" s="35">
        <v>246.54227343275633</v>
      </c>
      <c r="D452" s="35">
        <v>208.94580128073633</v>
      </c>
      <c r="E452" s="35">
        <v>255.17190270134688</v>
      </c>
      <c r="F452" s="35">
        <v>239.98735059193419</v>
      </c>
      <c r="G452" s="35">
        <v>235.05336942751933</v>
      </c>
      <c r="H452" s="35">
        <v>239.42201309845959</v>
      </c>
      <c r="I452" s="35">
        <v>268.96351528836362</v>
      </c>
      <c r="J452" s="35">
        <v>264.3746716260236</v>
      </c>
      <c r="K452" s="35">
        <v>283.8987577190689</v>
      </c>
      <c r="L452" s="35">
        <v>326.95332087930598</v>
      </c>
    </row>
    <row r="453" spans="1:12">
      <c r="A453" s="35">
        <v>227.82676618951848</v>
      </c>
      <c r="B453" s="35">
        <v>264.18073450219043</v>
      </c>
      <c r="C453" s="35">
        <v>236.5228213018442</v>
      </c>
      <c r="D453" s="35">
        <v>233.87753591679524</v>
      </c>
      <c r="E453" s="35">
        <v>259.90527445022695</v>
      </c>
      <c r="F453" s="35">
        <v>233.80549654875097</v>
      </c>
      <c r="G453" s="35">
        <v>240.17243348143234</v>
      </c>
      <c r="H453" s="35">
        <v>248.84227745367167</v>
      </c>
      <c r="I453" s="35">
        <v>270.16634692887146</v>
      </c>
      <c r="J453" s="35">
        <v>274.42209043993591</v>
      </c>
      <c r="K453" s="35">
        <v>290.38155401477297</v>
      </c>
      <c r="L453" s="35">
        <v>353.33197718331627</v>
      </c>
    </row>
    <row r="454" spans="1:12">
      <c r="A454" s="35">
        <v>249.91391113160026</v>
      </c>
      <c r="B454" s="35">
        <v>272.70676948083781</v>
      </c>
      <c r="C454" s="35">
        <v>251.19462017940779</v>
      </c>
      <c r="D454" s="35">
        <v>231.80076068082278</v>
      </c>
      <c r="E454" s="35">
        <v>279.21974197622558</v>
      </c>
      <c r="F454" s="35">
        <v>239.46711023407084</v>
      </c>
      <c r="G454" s="35">
        <v>251.31242195668284</v>
      </c>
      <c r="H454" s="35">
        <v>251.65161356412511</v>
      </c>
      <c r="I454" s="35">
        <v>293.02019523948894</v>
      </c>
      <c r="J454" s="35">
        <v>304.61172645550198</v>
      </c>
      <c r="K454" s="35">
        <v>303.91177809961704</v>
      </c>
      <c r="L454" s="35">
        <v>330.56672850422564</v>
      </c>
    </row>
    <row r="455" spans="1:12">
      <c r="A455" s="35">
        <v>245.43591499007454</v>
      </c>
      <c r="B455" s="35">
        <v>260.58747983717427</v>
      </c>
      <c r="C455" s="35">
        <v>242.4233103898739</v>
      </c>
      <c r="D455" s="35">
        <v>243.15935201800576</v>
      </c>
      <c r="E455" s="35">
        <v>289.65021019220995</v>
      </c>
      <c r="F455" s="35">
        <v>249.91369860167345</v>
      </c>
      <c r="G455" s="35">
        <v>255.31454611367138</v>
      </c>
      <c r="H455" s="35">
        <v>260.47286820725373</v>
      </c>
      <c r="I455" s="35">
        <v>281.19414635831549</v>
      </c>
      <c r="J455" s="35">
        <v>286.28974202840448</v>
      </c>
      <c r="K455" s="35">
        <v>310.44211259534205</v>
      </c>
      <c r="L455" s="35">
        <v>366.41958911140631</v>
      </c>
    </row>
    <row r="456" spans="1:12">
      <c r="A456" s="35">
        <v>252.59288135124672</v>
      </c>
      <c r="B456" s="35">
        <v>268.60737871630982</v>
      </c>
      <c r="C456" s="35">
        <v>236.48353758517669</v>
      </c>
      <c r="D456" s="35">
        <v>231.61606063923759</v>
      </c>
      <c r="E456" s="35">
        <v>264.96454640529123</v>
      </c>
      <c r="F456" s="35">
        <v>236.09577815269938</v>
      </c>
      <c r="G456" s="35">
        <v>251.16283757018007</v>
      </c>
      <c r="H456" s="35">
        <v>251.00746392664075</v>
      </c>
      <c r="I456" s="35">
        <v>264.86417926095396</v>
      </c>
      <c r="J456" s="35">
        <v>284.06349192490944</v>
      </c>
      <c r="K456" s="35">
        <v>282.42176740435957</v>
      </c>
      <c r="L456" s="35">
        <v>331.34738679755264</v>
      </c>
    </row>
    <row r="457" spans="1:12">
      <c r="A457" s="35">
        <v>258.09217504070659</v>
      </c>
      <c r="B457" s="35">
        <v>266.83942534457913</v>
      </c>
      <c r="C457" s="35">
        <v>245.09814700837583</v>
      </c>
      <c r="D457" s="35">
        <v>248.48013580909273</v>
      </c>
      <c r="E457" s="35">
        <v>301.03757707711549</v>
      </c>
      <c r="F457" s="35">
        <v>262.82791734751891</v>
      </c>
      <c r="G457" s="35">
        <v>262.07497962510638</v>
      </c>
      <c r="H457" s="35">
        <v>284.8090341854068</v>
      </c>
      <c r="I457" s="35">
        <v>313.94638676018093</v>
      </c>
      <c r="J457" s="35">
        <v>323.81115265337883</v>
      </c>
      <c r="K457" s="35">
        <v>350.14280981595743</v>
      </c>
      <c r="L457" s="35">
        <v>416.38334933332243</v>
      </c>
    </row>
    <row r="458" spans="1:12">
      <c r="A458" s="35">
        <v>255.40487187210749</v>
      </c>
      <c r="B458" s="35">
        <v>278.1630842782335</v>
      </c>
      <c r="C458" s="35">
        <v>254.22099444664482</v>
      </c>
      <c r="D458" s="35">
        <v>247.25845171728128</v>
      </c>
      <c r="E458" s="35">
        <v>290.10372435521617</v>
      </c>
      <c r="F458" s="35">
        <v>248.32513660886178</v>
      </c>
      <c r="G458" s="35">
        <v>261.59285656117675</v>
      </c>
      <c r="H458" s="35">
        <v>266.28578720156753</v>
      </c>
      <c r="I458" s="35">
        <v>301.5356518232785</v>
      </c>
      <c r="J458" s="35">
        <v>313.71216529816405</v>
      </c>
      <c r="K458" s="35">
        <v>320.98168755333438</v>
      </c>
      <c r="L458" s="35">
        <v>374.9669720772269</v>
      </c>
    </row>
    <row r="459" spans="1:12">
      <c r="A459" s="35">
        <v>255.70245154005406</v>
      </c>
      <c r="B459" s="35">
        <v>253.28063914181629</v>
      </c>
      <c r="C459" s="35">
        <v>249.09681622358229</v>
      </c>
      <c r="D459" s="35">
        <v>224.86458542017616</v>
      </c>
      <c r="E459" s="35">
        <v>281.82191313436596</v>
      </c>
      <c r="F459" s="35">
        <v>264.94394273114818</v>
      </c>
      <c r="G459" s="35">
        <v>289.10176740654833</v>
      </c>
      <c r="H459" s="35">
        <v>281.50228861528956</v>
      </c>
      <c r="I459" s="35">
        <v>310.5317016332599</v>
      </c>
      <c r="J459" s="35">
        <v>314.07276750393669</v>
      </c>
      <c r="K459" s="35">
        <v>339.31083449823933</v>
      </c>
      <c r="L459" s="35">
        <v>384.94833626997212</v>
      </c>
    </row>
    <row r="460" spans="1:12">
      <c r="A460" s="35">
        <v>243.46348099837735</v>
      </c>
      <c r="B460" s="35">
        <v>274.30023204130367</v>
      </c>
      <c r="C460" s="35">
        <v>243.53818448927552</v>
      </c>
      <c r="D460" s="35">
        <v>228.42241135434332</v>
      </c>
      <c r="E460" s="35">
        <v>281.3632367527303</v>
      </c>
      <c r="F460" s="35">
        <v>245.36817660684298</v>
      </c>
      <c r="G460" s="35">
        <v>252.17844508248504</v>
      </c>
      <c r="H460" s="35">
        <v>252.07269740536</v>
      </c>
      <c r="I460" s="35">
        <v>264.59727727784815</v>
      </c>
      <c r="J460" s="35">
        <v>280.24293877291501</v>
      </c>
      <c r="K460" s="35">
        <v>300.74399291459514</v>
      </c>
      <c r="L460" s="35">
        <v>350.76645044815388</v>
      </c>
    </row>
    <row r="461" spans="1:12">
      <c r="A461" s="35">
        <v>245.54314738091429</v>
      </c>
      <c r="B461" s="35">
        <v>257.03978595922638</v>
      </c>
      <c r="C461" s="35">
        <v>244.50377176489661</v>
      </c>
      <c r="D461" s="35">
        <v>243.65650812463178</v>
      </c>
      <c r="E461" s="35">
        <v>295.74798764742866</v>
      </c>
      <c r="F461" s="35">
        <v>232.16008584207933</v>
      </c>
      <c r="G461" s="35">
        <v>241.22968799644397</v>
      </c>
      <c r="H461" s="35">
        <v>242.87842774359447</v>
      </c>
      <c r="I461" s="35">
        <v>281.71333406338636</v>
      </c>
      <c r="J461" s="35">
        <v>292.36130669529479</v>
      </c>
      <c r="K461" s="35">
        <v>296.60950667223779</v>
      </c>
      <c r="L461" s="35">
        <v>367.20475455258872</v>
      </c>
    </row>
    <row r="462" spans="1:12">
      <c r="A462" s="35">
        <v>253.66946987608486</v>
      </c>
      <c r="B462" s="35">
        <v>250.23057624150988</v>
      </c>
      <c r="C462" s="35">
        <v>241.67130432809279</v>
      </c>
      <c r="D462" s="35">
        <v>245.02286902960921</v>
      </c>
      <c r="E462" s="35">
        <v>298.78841146150194</v>
      </c>
      <c r="F462" s="35">
        <v>239.68557287952285</v>
      </c>
      <c r="G462" s="35">
        <v>252.18733675530274</v>
      </c>
      <c r="H462" s="35">
        <v>247.8963141591318</v>
      </c>
      <c r="I462" s="35">
        <v>286.49704192144389</v>
      </c>
      <c r="J462" s="35">
        <v>300.23048409357659</v>
      </c>
      <c r="K462" s="35">
        <v>309.62745702817085</v>
      </c>
      <c r="L462" s="35">
        <v>371.91526171987249</v>
      </c>
    </row>
    <row r="463" spans="1:12">
      <c r="A463" s="35">
        <v>251.17498537806438</v>
      </c>
      <c r="B463" s="35">
        <v>260.97671023783175</v>
      </c>
      <c r="C463" s="35">
        <v>242.78040818021674</v>
      </c>
      <c r="D463" s="35">
        <v>238.37905149143938</v>
      </c>
      <c r="E463" s="35">
        <v>300.35273934856633</v>
      </c>
      <c r="F463" s="35">
        <v>260.37185644381401</v>
      </c>
      <c r="G463" s="35">
        <v>268.34027657427328</v>
      </c>
      <c r="H463" s="35">
        <v>286.22050267273033</v>
      </c>
      <c r="I463" s="35">
        <v>299.58488618380841</v>
      </c>
      <c r="J463" s="35">
        <v>300.40439645227735</v>
      </c>
      <c r="K463" s="35">
        <v>339.34388102207322</v>
      </c>
      <c r="L463" s="35">
        <v>396.77865654051953</v>
      </c>
    </row>
    <row r="464" spans="1:12">
      <c r="A464" s="35">
        <v>250.05984332812864</v>
      </c>
      <c r="B464" s="35">
        <v>243.63557089292507</v>
      </c>
      <c r="C464" s="35">
        <v>232.28636339241999</v>
      </c>
      <c r="D464" s="35">
        <v>234.50925697438674</v>
      </c>
      <c r="E464" s="35">
        <v>280.07336450767195</v>
      </c>
      <c r="F464" s="35">
        <v>255.67175831422529</v>
      </c>
      <c r="G464" s="35">
        <v>245.34222484535067</v>
      </c>
      <c r="H464" s="35">
        <v>268.04723431899311</v>
      </c>
      <c r="I464" s="35">
        <v>278.61548276806309</v>
      </c>
      <c r="J464" s="35">
        <v>305.83478251251705</v>
      </c>
      <c r="K464" s="35">
        <v>308.58815577372229</v>
      </c>
      <c r="L464" s="35">
        <v>359.92249483118195</v>
      </c>
    </row>
    <row r="465" spans="1:12">
      <c r="A465" s="35">
        <v>258.72448587740433</v>
      </c>
      <c r="B465" s="35">
        <v>270.94273963480248</v>
      </c>
      <c r="C465" s="35">
        <v>251.75360017479287</v>
      </c>
      <c r="D465" s="35">
        <v>262.7357903524142</v>
      </c>
      <c r="E465" s="35">
        <v>280.47456074155423</v>
      </c>
      <c r="F465" s="35">
        <v>255.61119207025743</v>
      </c>
      <c r="G465" s="35">
        <v>254.69820003715222</v>
      </c>
      <c r="H465" s="35">
        <v>273.23183369931951</v>
      </c>
      <c r="I465" s="35">
        <v>300.0910577627069</v>
      </c>
      <c r="J465" s="35">
        <v>308.81479972685867</v>
      </c>
      <c r="K465" s="35">
        <v>325.96855600436106</v>
      </c>
      <c r="L465" s="35">
        <v>395.96870076552898</v>
      </c>
    </row>
    <row r="466" spans="1:12">
      <c r="A466" s="35">
        <v>262.95707788341332</v>
      </c>
      <c r="B466" s="35">
        <v>265.89404188683426</v>
      </c>
      <c r="C466" s="35">
        <v>257.5965872711223</v>
      </c>
      <c r="D466" s="35">
        <v>244.95689530276161</v>
      </c>
      <c r="E466" s="35">
        <v>284.4037944720028</v>
      </c>
      <c r="F466" s="35">
        <v>225.66921454861011</v>
      </c>
      <c r="G466" s="35">
        <v>263.56993173141757</v>
      </c>
      <c r="H466" s="35">
        <v>259.55169997402243</v>
      </c>
      <c r="I466" s="35">
        <v>275.72332563059206</v>
      </c>
      <c r="J466" s="35">
        <v>284.81296081973022</v>
      </c>
      <c r="K466" s="35">
        <v>285.5628443896598</v>
      </c>
      <c r="L466" s="35">
        <v>339.768192209451</v>
      </c>
    </row>
    <row r="467" spans="1:12">
      <c r="A467" s="35">
        <v>244.9308427740483</v>
      </c>
      <c r="B467" s="35">
        <v>251.4024965338557</v>
      </c>
      <c r="C467" s="35">
        <v>231.21343402445333</v>
      </c>
      <c r="D467" s="35">
        <v>221.14491779932209</v>
      </c>
      <c r="E467" s="35">
        <v>259.27650467343994</v>
      </c>
      <c r="F467" s="35">
        <v>233.47925434640368</v>
      </c>
      <c r="G467" s="35">
        <v>231.00291655736015</v>
      </c>
      <c r="H467" s="35">
        <v>239.74248928958002</v>
      </c>
      <c r="I467" s="35">
        <v>243.52142833925168</v>
      </c>
      <c r="J467" s="35">
        <v>262.57439912360007</v>
      </c>
      <c r="K467" s="35">
        <v>287.38131167856557</v>
      </c>
      <c r="L467" s="35">
        <v>344.35231031479941</v>
      </c>
    </row>
    <row r="468" spans="1:12">
      <c r="A468" s="35">
        <v>244.15776403886039</v>
      </c>
      <c r="B468" s="35">
        <v>264.38206595682038</v>
      </c>
      <c r="C468" s="35">
        <v>236.75600847191407</v>
      </c>
      <c r="D468" s="35">
        <v>236.36630058959943</v>
      </c>
      <c r="E468" s="35">
        <v>254.70572632140903</v>
      </c>
      <c r="F468" s="35">
        <v>220.54349410806248</v>
      </c>
      <c r="G468" s="35">
        <v>232.68263735783725</v>
      </c>
      <c r="H468" s="35">
        <v>223.54518351347025</v>
      </c>
      <c r="I468" s="35">
        <v>257.19187004852199</v>
      </c>
      <c r="J468" s="35">
        <v>268.14577326926724</v>
      </c>
      <c r="K468" s="35">
        <v>280.13915296662253</v>
      </c>
      <c r="L468" s="35">
        <v>336.69445367305002</v>
      </c>
    </row>
    <row r="469" spans="1:12">
      <c r="A469" s="35">
        <v>247.94441739453939</v>
      </c>
      <c r="B469" s="35">
        <v>245.6790631606643</v>
      </c>
      <c r="C469" s="35">
        <v>244.58242984932252</v>
      </c>
      <c r="D469" s="35">
        <v>239.31586924320288</v>
      </c>
      <c r="E469" s="35">
        <v>266.57463979288798</v>
      </c>
      <c r="F469" s="35">
        <v>237.81262325860504</v>
      </c>
      <c r="G469" s="35">
        <v>256.23442314306379</v>
      </c>
      <c r="H469" s="35">
        <v>250.19663144704325</v>
      </c>
      <c r="I469" s="35">
        <v>280.38484856328262</v>
      </c>
      <c r="J469" s="35">
        <v>292.37305721740302</v>
      </c>
      <c r="K469" s="35">
        <v>327.21916336271369</v>
      </c>
      <c r="L469" s="35">
        <v>385.69057077475588</v>
      </c>
    </row>
    <row r="470" spans="1:12">
      <c r="A470" s="35">
        <v>235.29938458077385</v>
      </c>
      <c r="B470" s="35">
        <v>262.99200353951147</v>
      </c>
      <c r="C470" s="35">
        <v>232.90000286117899</v>
      </c>
      <c r="D470" s="35">
        <v>231.68740207660608</v>
      </c>
      <c r="E470" s="35">
        <v>267.3388595529284</v>
      </c>
      <c r="F470" s="35">
        <v>230.09399777042813</v>
      </c>
      <c r="G470" s="35">
        <v>242.72028854635744</v>
      </c>
      <c r="H470" s="35">
        <v>252.11694523654143</v>
      </c>
      <c r="I470" s="35">
        <v>279.28585495160451</v>
      </c>
      <c r="J470" s="35">
        <v>277.20923503731785</v>
      </c>
      <c r="K470" s="35">
        <v>291.66654206989682</v>
      </c>
      <c r="L470" s="35">
        <v>353.92432310611821</v>
      </c>
    </row>
    <row r="471" spans="1:12">
      <c r="A471" s="35">
        <v>235.98455088950539</v>
      </c>
      <c r="B471" s="35">
        <v>264.88693737675544</v>
      </c>
      <c r="C471" s="35">
        <v>238.7339686438803</v>
      </c>
      <c r="D471" s="35">
        <v>245.7610519463301</v>
      </c>
      <c r="E471" s="35">
        <v>283.04202445153464</v>
      </c>
      <c r="F471" s="35">
        <v>243.46717815730378</v>
      </c>
      <c r="G471" s="35">
        <v>267.30858681028297</v>
      </c>
      <c r="H471" s="35">
        <v>272.46911993635376</v>
      </c>
      <c r="I471" s="35">
        <v>303.67893139302964</v>
      </c>
      <c r="J471" s="35">
        <v>326.51880322931925</v>
      </c>
      <c r="K471" s="35">
        <v>349.51516061649295</v>
      </c>
      <c r="L471" s="35">
        <v>414.76375187625348</v>
      </c>
    </row>
    <row r="472" spans="1:12">
      <c r="A472" s="35">
        <v>240.41443381706043</v>
      </c>
      <c r="B472" s="35">
        <v>274.12291523677652</v>
      </c>
      <c r="C472" s="35">
        <v>235.10705827056276</v>
      </c>
      <c r="D472" s="35">
        <v>222.78895721044398</v>
      </c>
      <c r="E472" s="35">
        <v>287.21260764134234</v>
      </c>
      <c r="F472" s="35">
        <v>239.34841572248391</v>
      </c>
      <c r="G472" s="35">
        <v>249.48810991349779</v>
      </c>
      <c r="H472" s="35">
        <v>259.3203986912838</v>
      </c>
      <c r="I472" s="35">
        <v>271.26930688041625</v>
      </c>
      <c r="J472" s="35">
        <v>282.83356806756171</v>
      </c>
      <c r="K472" s="35">
        <v>300.84452256093755</v>
      </c>
      <c r="L472" s="35">
        <v>335.3922202453972</v>
      </c>
    </row>
    <row r="473" spans="1:12">
      <c r="A473" s="35">
        <v>251.8527591908443</v>
      </c>
      <c r="B473" s="35">
        <v>275.83003370744706</v>
      </c>
      <c r="C473" s="35">
        <v>247.76526170491687</v>
      </c>
      <c r="D473" s="35">
        <v>243.38389459198862</v>
      </c>
      <c r="E473" s="35">
        <v>290.77199776026265</v>
      </c>
      <c r="F473" s="35">
        <v>237.8432328870316</v>
      </c>
      <c r="G473" s="35">
        <v>256.80356757017995</v>
      </c>
      <c r="H473" s="35">
        <v>263.70483707749747</v>
      </c>
      <c r="I473" s="35">
        <v>287.87513641174462</v>
      </c>
      <c r="J473" s="35">
        <v>300.62549488097579</v>
      </c>
      <c r="K473" s="35">
        <v>314.71542994350051</v>
      </c>
      <c r="L473" s="35">
        <v>362.85007808528673</v>
      </c>
    </row>
    <row r="474" spans="1:12">
      <c r="A474" s="35">
        <v>256.79121412629746</v>
      </c>
      <c r="B474" s="35">
        <v>270.42425576473022</v>
      </c>
      <c r="C474" s="35">
        <v>246.76314592543358</v>
      </c>
      <c r="D474" s="35">
        <v>249.02661483019364</v>
      </c>
      <c r="E474" s="35">
        <v>297.87808195198897</v>
      </c>
      <c r="F474" s="35">
        <v>274.65551594906253</v>
      </c>
      <c r="G474" s="35">
        <v>272.05402761479706</v>
      </c>
      <c r="H474" s="35">
        <v>287.90975433008197</v>
      </c>
      <c r="I474" s="35">
        <v>324.35475424574008</v>
      </c>
      <c r="J474" s="35">
        <v>331.67955836677277</v>
      </c>
      <c r="K474" s="35">
        <v>361.49560172753974</v>
      </c>
      <c r="L474" s="35">
        <v>427.6449571989067</v>
      </c>
    </row>
    <row r="475" spans="1:12">
      <c r="A475" s="35">
        <v>244.36934208049809</v>
      </c>
      <c r="B475" s="35">
        <v>251.06990141160671</v>
      </c>
      <c r="C475" s="35">
        <v>222.82035116359242</v>
      </c>
      <c r="D475" s="35">
        <v>222.82564388470354</v>
      </c>
      <c r="E475" s="35">
        <v>278.54477269288901</v>
      </c>
      <c r="F475" s="35">
        <v>233.41436319693949</v>
      </c>
      <c r="G475" s="35">
        <v>256.91886209854152</v>
      </c>
      <c r="H475" s="35">
        <v>265.55675794630775</v>
      </c>
      <c r="I475" s="35">
        <v>296.36076448275156</v>
      </c>
      <c r="J475" s="35">
        <v>299.34503804160818</v>
      </c>
      <c r="K475" s="35">
        <v>313.56500867674077</v>
      </c>
      <c r="L475" s="35">
        <v>380.32876144853577</v>
      </c>
    </row>
    <row r="476" spans="1:12">
      <c r="A476" s="35">
        <v>224.5312060657526</v>
      </c>
      <c r="B476" s="35">
        <v>251.69288590444117</v>
      </c>
      <c r="C476" s="35">
        <v>230.82189078798643</v>
      </c>
      <c r="D476" s="35">
        <v>222.72660398675396</v>
      </c>
      <c r="E476" s="35">
        <v>263.34236189104047</v>
      </c>
      <c r="F476" s="35">
        <v>245.11554364468364</v>
      </c>
      <c r="G476" s="35">
        <v>257.24682239885311</v>
      </c>
      <c r="H476" s="35">
        <v>264.27402767843904</v>
      </c>
      <c r="I476" s="35">
        <v>273.19469436526458</v>
      </c>
      <c r="J476" s="35">
        <v>294.75220298905856</v>
      </c>
      <c r="K476" s="35">
        <v>303.36571820533817</v>
      </c>
      <c r="L476" s="35">
        <v>362.71651065773102</v>
      </c>
    </row>
    <row r="477" spans="1:12">
      <c r="A477" s="35">
        <v>249.01973496785101</v>
      </c>
      <c r="B477" s="35">
        <v>265.28044713240121</v>
      </c>
      <c r="C477" s="35">
        <v>240.34380924633828</v>
      </c>
      <c r="D477" s="35">
        <v>247.3494691488541</v>
      </c>
      <c r="E477" s="35">
        <v>286.70983235664465</v>
      </c>
      <c r="F477" s="35">
        <v>240.37255122954559</v>
      </c>
      <c r="G477" s="35">
        <v>240.84537834928125</v>
      </c>
      <c r="H477" s="35">
        <v>264.82360108030451</v>
      </c>
      <c r="I477" s="35">
        <v>282.58143581387287</v>
      </c>
      <c r="J477" s="35">
        <v>298.73830598661044</v>
      </c>
      <c r="K477" s="35">
        <v>312.28659921432535</v>
      </c>
      <c r="L477" s="35">
        <v>371.04248308902737</v>
      </c>
    </row>
    <row r="478" spans="1:12">
      <c r="A478" s="35">
        <v>248.22879410102212</v>
      </c>
      <c r="B478" s="35">
        <v>250.25302378776985</v>
      </c>
      <c r="C478" s="35">
        <v>217.95244943988808</v>
      </c>
      <c r="D478" s="35">
        <v>231.79138898905487</v>
      </c>
      <c r="E478" s="35">
        <v>260.56323280713116</v>
      </c>
      <c r="F478" s="35">
        <v>223.52648241149461</v>
      </c>
      <c r="G478" s="35">
        <v>228.23786901830877</v>
      </c>
      <c r="H478" s="35">
        <v>251.58633779278261</v>
      </c>
      <c r="I478" s="35">
        <v>253.70460252738212</v>
      </c>
      <c r="J478" s="35">
        <v>247.62790650495634</v>
      </c>
      <c r="K478" s="35">
        <v>270.06501159874085</v>
      </c>
      <c r="L478" s="35">
        <v>309.12751851474349</v>
      </c>
    </row>
    <row r="479" spans="1:12">
      <c r="A479" s="35">
        <v>251.88567379342385</v>
      </c>
      <c r="B479" s="35">
        <v>265.26060019078551</v>
      </c>
      <c r="C479" s="35">
        <v>249.20588573560403</v>
      </c>
      <c r="D479" s="35">
        <v>245.18511355855571</v>
      </c>
      <c r="E479" s="35">
        <v>301.49895611727129</v>
      </c>
      <c r="F479" s="35">
        <v>248.56032278968235</v>
      </c>
      <c r="G479" s="35">
        <v>260.65092959854951</v>
      </c>
      <c r="H479" s="35">
        <v>264.93134822226222</v>
      </c>
      <c r="I479" s="35">
        <v>289.94099945623395</v>
      </c>
      <c r="J479" s="35">
        <v>291.83411709139091</v>
      </c>
      <c r="K479" s="35">
        <v>318.48404552934107</v>
      </c>
      <c r="L479" s="35">
        <v>370.34400683299532</v>
      </c>
    </row>
    <row r="480" spans="1:12">
      <c r="A480" s="35">
        <v>235.93273815930229</v>
      </c>
      <c r="B480" s="35">
        <v>228.47376871805898</v>
      </c>
      <c r="C480" s="35">
        <v>219.12541611681007</v>
      </c>
      <c r="D480" s="35">
        <v>211.47642318105184</v>
      </c>
      <c r="E480" s="35">
        <v>242.21497685808876</v>
      </c>
      <c r="F480" s="35">
        <v>230.36566006969619</v>
      </c>
      <c r="G480" s="35">
        <v>219.88572573138791</v>
      </c>
      <c r="H480" s="35">
        <v>232.44878902138245</v>
      </c>
      <c r="I480" s="35">
        <v>252.79986786076134</v>
      </c>
      <c r="J480" s="35">
        <v>261.74683436732192</v>
      </c>
      <c r="K480" s="35">
        <v>269.93338669364294</v>
      </c>
      <c r="L480" s="35">
        <v>298.99875382114072</v>
      </c>
    </row>
    <row r="481" spans="1:12">
      <c r="A481" s="35">
        <v>246.40965777259345</v>
      </c>
      <c r="B481" s="35">
        <v>267.76941130431629</v>
      </c>
      <c r="C481" s="35">
        <v>245.22273034141176</v>
      </c>
      <c r="D481" s="35">
        <v>239.257024474383</v>
      </c>
      <c r="E481" s="35">
        <v>286.17433049134434</v>
      </c>
      <c r="F481" s="35">
        <v>258.3664126028678</v>
      </c>
      <c r="G481" s="35">
        <v>249.47168394915053</v>
      </c>
      <c r="H481" s="35">
        <v>278.72981199085734</v>
      </c>
      <c r="I481" s="35">
        <v>290.6067000444844</v>
      </c>
      <c r="J481" s="35">
        <v>330.62939124303676</v>
      </c>
      <c r="K481" s="35">
        <v>348.49613818027541</v>
      </c>
      <c r="L481" s="35">
        <v>383.72320746283214</v>
      </c>
    </row>
    <row r="482" spans="1:12">
      <c r="A482" s="35">
        <v>260.84578831022361</v>
      </c>
      <c r="B482" s="35">
        <v>270.79210309655502</v>
      </c>
      <c r="C482" s="35">
        <v>228.647455723825</v>
      </c>
      <c r="D482" s="35">
        <v>251.39241293966316</v>
      </c>
      <c r="E482" s="35">
        <v>295.09334015001798</v>
      </c>
      <c r="F482" s="35">
        <v>268.60546575246366</v>
      </c>
      <c r="G482" s="35">
        <v>267.4457482917943</v>
      </c>
      <c r="H482" s="35">
        <v>271.51014447245439</v>
      </c>
      <c r="I482" s="35">
        <v>288.6816167802038</v>
      </c>
      <c r="J482" s="35">
        <v>300.22595519251229</v>
      </c>
      <c r="K482" s="35">
        <v>320.66926738523927</v>
      </c>
      <c r="L482" s="35">
        <v>372.73941031200241</v>
      </c>
    </row>
    <row r="483" spans="1:12">
      <c r="A483" s="35">
        <v>234.21554579878233</v>
      </c>
      <c r="B483" s="35">
        <v>279.82295847206075</v>
      </c>
      <c r="C483" s="35">
        <v>245.150157469904</v>
      </c>
      <c r="D483" s="35">
        <v>257.64132794905123</v>
      </c>
      <c r="E483" s="35">
        <v>309.3978863667104</v>
      </c>
      <c r="F483" s="35">
        <v>267.04146579655486</v>
      </c>
      <c r="G483" s="35">
        <v>276.80575306446065</v>
      </c>
      <c r="H483" s="35">
        <v>303.98431239963099</v>
      </c>
      <c r="I483" s="35">
        <v>330.58910505898677</v>
      </c>
      <c r="J483" s="35">
        <v>356.16907121021461</v>
      </c>
      <c r="K483" s="35">
        <v>363.67582396946841</v>
      </c>
      <c r="L483" s="35">
        <v>423.45505385113637</v>
      </c>
    </row>
    <row r="484" spans="1:12">
      <c r="A484" s="35">
        <v>247.07049831123882</v>
      </c>
      <c r="B484" s="35">
        <v>276.08584423011359</v>
      </c>
      <c r="C484" s="35">
        <v>252.76037275807062</v>
      </c>
      <c r="D484" s="35">
        <v>236.36088402504581</v>
      </c>
      <c r="E484" s="35">
        <v>287.56017366361579</v>
      </c>
      <c r="F484" s="35">
        <v>251.98122230267555</v>
      </c>
      <c r="G484" s="35">
        <v>254.56925333997393</v>
      </c>
      <c r="H484" s="35">
        <v>270.63011169460543</v>
      </c>
      <c r="I484" s="35">
        <v>282.16127925707207</v>
      </c>
      <c r="J484" s="35">
        <v>294.76581837468626</v>
      </c>
      <c r="K484" s="35">
        <v>319.27790285011139</v>
      </c>
      <c r="L484" s="35">
        <v>360.15438613537532</v>
      </c>
    </row>
    <row r="485" spans="1:12">
      <c r="A485" s="35">
        <v>240.62064140809201</v>
      </c>
      <c r="B485" s="35">
        <v>240.29781249342872</v>
      </c>
      <c r="C485" s="35">
        <v>234.13159012373711</v>
      </c>
      <c r="D485" s="35">
        <v>239.62875013835048</v>
      </c>
      <c r="E485" s="35">
        <v>285.65318260180516</v>
      </c>
      <c r="F485" s="35">
        <v>233.56156401352186</v>
      </c>
      <c r="G485" s="35">
        <v>228.93234624300769</v>
      </c>
      <c r="H485" s="35">
        <v>228.38268971832102</v>
      </c>
      <c r="I485" s="35">
        <v>258.96255052997833</v>
      </c>
      <c r="J485" s="35">
        <v>260.72354603082226</v>
      </c>
      <c r="K485" s="35">
        <v>265.21181551920478</v>
      </c>
      <c r="L485" s="35">
        <v>290.19599369345804</v>
      </c>
    </row>
    <row r="486" spans="1:12">
      <c r="A486" s="35">
        <v>252.32886928935253</v>
      </c>
      <c r="B486" s="35">
        <v>263.20170578326241</v>
      </c>
      <c r="C486" s="35">
        <v>241.69038944388856</v>
      </c>
      <c r="D486" s="35">
        <v>259.2484624226351</v>
      </c>
      <c r="E486" s="35">
        <v>292.41077933818474</v>
      </c>
      <c r="F486" s="35">
        <v>257.32956477850689</v>
      </c>
      <c r="G486" s="35">
        <v>260.55672188222451</v>
      </c>
      <c r="H486" s="35">
        <v>272.25592910180336</v>
      </c>
      <c r="I486" s="35">
        <v>275.7202436526386</v>
      </c>
      <c r="J486" s="35">
        <v>315.31270929569496</v>
      </c>
      <c r="K486" s="35">
        <v>331.23540339888933</v>
      </c>
      <c r="L486" s="35">
        <v>411.65653707751858</v>
      </c>
    </row>
    <row r="487" spans="1:12">
      <c r="A487" s="35">
        <v>237.03432314894286</v>
      </c>
      <c r="B487" s="35">
        <v>274.64607886783961</v>
      </c>
      <c r="C487" s="35">
        <v>238.83333146312734</v>
      </c>
      <c r="D487" s="35">
        <v>241.13127975388917</v>
      </c>
      <c r="E487" s="35">
        <v>276.79239415855454</v>
      </c>
      <c r="F487" s="35">
        <v>253.75581443113592</v>
      </c>
      <c r="G487" s="35">
        <v>268.52938863941597</v>
      </c>
      <c r="H487" s="35">
        <v>265.39097900340221</v>
      </c>
      <c r="I487" s="35">
        <v>299.41642976459264</v>
      </c>
      <c r="J487" s="35">
        <v>315.15842299316353</v>
      </c>
      <c r="K487" s="35">
        <v>335.83575415245809</v>
      </c>
      <c r="L487" s="35">
        <v>384.06927927944025</v>
      </c>
    </row>
    <row r="488" spans="1:12">
      <c r="A488" s="35">
        <v>248.71300629113043</v>
      </c>
      <c r="B488" s="35">
        <v>276.16009855843635</v>
      </c>
      <c r="C488" s="35">
        <v>236.31304084975849</v>
      </c>
      <c r="D488" s="35">
        <v>239.43940865017709</v>
      </c>
      <c r="E488" s="35">
        <v>279.21427217977691</v>
      </c>
      <c r="F488" s="35">
        <v>259.40801393962209</v>
      </c>
      <c r="G488" s="35">
        <v>258.1472607132776</v>
      </c>
      <c r="H488" s="35">
        <v>242.85869595780196</v>
      </c>
      <c r="I488" s="35">
        <v>275.96613608572392</v>
      </c>
      <c r="J488" s="35">
        <v>284.78653140010715</v>
      </c>
      <c r="K488" s="35">
        <v>306.28026622215378</v>
      </c>
      <c r="L488" s="35">
        <v>350.69745978038964</v>
      </c>
    </row>
    <row r="489" spans="1:12">
      <c r="A489" s="35">
        <v>245.83037172536547</v>
      </c>
      <c r="B489" s="35">
        <v>268.01583744934004</v>
      </c>
      <c r="C489" s="35">
        <v>258.61644337991578</v>
      </c>
      <c r="D489" s="35">
        <v>272.67926954737192</v>
      </c>
      <c r="E489" s="35">
        <v>313.42276799080503</v>
      </c>
      <c r="F489" s="35">
        <v>252.60917424413529</v>
      </c>
      <c r="G489" s="35">
        <v>254.94556566971792</v>
      </c>
      <c r="H489" s="35">
        <v>280.09643225689331</v>
      </c>
      <c r="I489" s="35">
        <v>324.72541708745337</v>
      </c>
      <c r="J489" s="35">
        <v>352.09816367847105</v>
      </c>
      <c r="K489" s="35">
        <v>359.35841781823638</v>
      </c>
      <c r="L489" s="35">
        <v>445.68429531032257</v>
      </c>
    </row>
    <row r="490" spans="1:12">
      <c r="A490" s="35">
        <v>254.81025868694212</v>
      </c>
      <c r="B490" s="35">
        <v>266.92110020693428</v>
      </c>
      <c r="C490" s="35">
        <v>266.50164714502313</v>
      </c>
      <c r="D490" s="35">
        <v>245.00865072803356</v>
      </c>
      <c r="E490" s="35">
        <v>297.49823765798095</v>
      </c>
      <c r="F490" s="35">
        <v>235.22019729815693</v>
      </c>
      <c r="G490" s="35">
        <v>258.3025277119981</v>
      </c>
      <c r="H490" s="35">
        <v>253.35238317886203</v>
      </c>
      <c r="I490" s="35">
        <v>271.39475792971962</v>
      </c>
      <c r="J490" s="35">
        <v>293.41059828679937</v>
      </c>
      <c r="K490" s="35">
        <v>305.25174970870677</v>
      </c>
      <c r="L490" s="35">
        <v>353.82955458609041</v>
      </c>
    </row>
    <row r="491" spans="1:12">
      <c r="A491" s="35">
        <v>257.67348640169035</v>
      </c>
      <c r="B491" s="35">
        <v>277.95284403762957</v>
      </c>
      <c r="C491" s="35">
        <v>267.08401558557603</v>
      </c>
      <c r="D491" s="35">
        <v>268.09455724000719</v>
      </c>
      <c r="E491" s="35">
        <v>315.91851007563736</v>
      </c>
      <c r="F491" s="35">
        <v>279.80096665225523</v>
      </c>
      <c r="G491" s="35">
        <v>299.46230740693784</v>
      </c>
      <c r="H491" s="35">
        <v>303.67022637215467</v>
      </c>
      <c r="I491" s="35">
        <v>341.89668968385547</v>
      </c>
      <c r="J491" s="35">
        <v>338.05743327473414</v>
      </c>
      <c r="K491" s="35">
        <v>385.69963291777827</v>
      </c>
      <c r="L491" s="35">
        <v>447.22430898406947</v>
      </c>
    </row>
    <row r="492" spans="1:12">
      <c r="A492" s="35">
        <v>248.81254978299799</v>
      </c>
      <c r="B492" s="35">
        <v>261.95178642059199</v>
      </c>
      <c r="C492" s="35">
        <v>245.23713806391115</v>
      </c>
      <c r="D492" s="35">
        <v>234.01599895406389</v>
      </c>
      <c r="E492" s="35">
        <v>271.99513631095772</v>
      </c>
      <c r="F492" s="35">
        <v>266.40518665558068</v>
      </c>
      <c r="G492" s="35">
        <v>263.15673096522585</v>
      </c>
      <c r="H492" s="35">
        <v>255.94793879742366</v>
      </c>
      <c r="I492" s="35">
        <v>289.65522919916526</v>
      </c>
      <c r="J492" s="35">
        <v>295.9613390690717</v>
      </c>
      <c r="K492" s="35">
        <v>308.18480694356703</v>
      </c>
      <c r="L492" s="35">
        <v>380.13710214637086</v>
      </c>
    </row>
    <row r="493" spans="1:12">
      <c r="A493" s="35">
        <v>239.71066713833076</v>
      </c>
      <c r="B493" s="35">
        <v>267.41996638622578</v>
      </c>
      <c r="C493" s="35">
        <v>241.41528395988234</v>
      </c>
      <c r="D493" s="35">
        <v>227.92655198775094</v>
      </c>
      <c r="E493" s="35">
        <v>278.06300881986868</v>
      </c>
      <c r="F493" s="35">
        <v>252.74711039101919</v>
      </c>
      <c r="G493" s="35">
        <v>239.78118437605906</v>
      </c>
      <c r="H493" s="35">
        <v>241.82913103644927</v>
      </c>
      <c r="I493" s="35">
        <v>298.18888923947264</v>
      </c>
      <c r="J493" s="35">
        <v>272.16995187080181</v>
      </c>
      <c r="K493" s="35">
        <v>297.47855792102638</v>
      </c>
      <c r="L493" s="35">
        <v>342.52379249195258</v>
      </c>
    </row>
    <row r="494" spans="1:12">
      <c r="A494" s="35">
        <v>230.01879610922157</v>
      </c>
      <c r="B494" s="35">
        <v>265.20045416858937</v>
      </c>
      <c r="C494" s="35">
        <v>251.34178223887264</v>
      </c>
      <c r="D494" s="35">
        <v>246.53766109539183</v>
      </c>
      <c r="E494" s="35">
        <v>279.08592091680549</v>
      </c>
      <c r="F494" s="35">
        <v>243.33009415685248</v>
      </c>
      <c r="G494" s="35">
        <v>247.00407753738369</v>
      </c>
      <c r="H494" s="35">
        <v>276.52327008745698</v>
      </c>
      <c r="I494" s="35">
        <v>259.8581021099302</v>
      </c>
      <c r="J494" s="35">
        <v>271.91846727151454</v>
      </c>
      <c r="K494" s="35">
        <v>295.89769968161511</v>
      </c>
      <c r="L494" s="35">
        <v>335.3128485352666</v>
      </c>
    </row>
    <row r="495" spans="1:12">
      <c r="A495" s="35">
        <v>251.0447924391498</v>
      </c>
      <c r="B495" s="35">
        <v>263.76371245482068</v>
      </c>
      <c r="C495" s="35">
        <v>245.4569864092403</v>
      </c>
      <c r="D495" s="35">
        <v>240.55002224026993</v>
      </c>
      <c r="E495" s="35">
        <v>299.6464837014679</v>
      </c>
      <c r="F495" s="35">
        <v>260.80932401787436</v>
      </c>
      <c r="G495" s="35">
        <v>279.95512407223976</v>
      </c>
      <c r="H495" s="35">
        <v>286.20647455451314</v>
      </c>
      <c r="I495" s="35">
        <v>304.9484710615331</v>
      </c>
      <c r="J495" s="35">
        <v>315.02498483113328</v>
      </c>
      <c r="K495" s="35">
        <v>323.4826747133614</v>
      </c>
      <c r="L495" s="35">
        <v>400.28556609668749</v>
      </c>
    </row>
    <row r="496" spans="1:12">
      <c r="A496" s="35">
        <v>252.13984361721415</v>
      </c>
      <c r="B496" s="35">
        <v>261.42094946579681</v>
      </c>
      <c r="C496" s="35">
        <v>262.74525655774744</v>
      </c>
      <c r="D496" s="35">
        <v>226.53880230510907</v>
      </c>
      <c r="E496" s="35">
        <v>301.98965369447399</v>
      </c>
      <c r="F496" s="35">
        <v>229.86583304787658</v>
      </c>
      <c r="G496" s="35">
        <v>267.05269747294153</v>
      </c>
      <c r="H496" s="35">
        <v>268.53107093237037</v>
      </c>
      <c r="I496" s="35">
        <v>294.0595760104768</v>
      </c>
      <c r="J496" s="35">
        <v>289.39579447397381</v>
      </c>
      <c r="K496" s="35">
        <v>322.36930660893324</v>
      </c>
      <c r="L496" s="35">
        <v>371.36211070199198</v>
      </c>
    </row>
    <row r="497" spans="1:12">
      <c r="A497" s="35">
        <v>241.81603970280028</v>
      </c>
      <c r="B497" s="35">
        <v>265.65805909435585</v>
      </c>
      <c r="C497" s="35">
        <v>238.89172031522972</v>
      </c>
      <c r="D497" s="35">
        <v>220.80929472024482</v>
      </c>
      <c r="E497" s="35">
        <v>267.48898885782387</v>
      </c>
      <c r="F497" s="35">
        <v>234.47760179203581</v>
      </c>
      <c r="G497" s="35">
        <v>234.5198199367658</v>
      </c>
      <c r="H497" s="35">
        <v>244.72777546415202</v>
      </c>
      <c r="I497" s="35">
        <v>256.57138774367513</v>
      </c>
      <c r="J497" s="35">
        <v>276.85282947178302</v>
      </c>
      <c r="K497" s="35">
        <v>290.30147827925333</v>
      </c>
      <c r="L497" s="35">
        <v>309.88628874853083</v>
      </c>
    </row>
    <row r="498" spans="1:12">
      <c r="A498" s="35">
        <v>243.49336765280506</v>
      </c>
      <c r="B498" s="35">
        <v>266.85489578108456</v>
      </c>
      <c r="C498" s="35">
        <v>243.40203919156099</v>
      </c>
      <c r="D498" s="35">
        <v>225.42386564764311</v>
      </c>
      <c r="E498" s="35">
        <v>288.42359204337362</v>
      </c>
      <c r="F498" s="35">
        <v>236.12018625949167</v>
      </c>
      <c r="G498" s="35">
        <v>244.37979589104003</v>
      </c>
      <c r="H498" s="35">
        <v>244.76998959855945</v>
      </c>
      <c r="I498" s="35">
        <v>273.8929532807241</v>
      </c>
      <c r="J498" s="35">
        <v>277.10587495448709</v>
      </c>
      <c r="K498" s="35">
        <v>305.62015456663084</v>
      </c>
      <c r="L498" s="35">
        <v>344.66828542558477</v>
      </c>
    </row>
    <row r="499" spans="1:12">
      <c r="A499" s="35">
        <v>239.25763978371469</v>
      </c>
      <c r="B499" s="35">
        <v>281.69004673625193</v>
      </c>
      <c r="C499" s="35">
        <v>253.79241189042475</v>
      </c>
      <c r="D499" s="35">
        <v>267.24836396214664</v>
      </c>
      <c r="E499" s="35">
        <v>285.24798206203565</v>
      </c>
      <c r="F499" s="35">
        <v>275.20554688236848</v>
      </c>
      <c r="G499" s="35">
        <v>284.29078515666146</v>
      </c>
      <c r="H499" s="35">
        <v>283.12906428280246</v>
      </c>
      <c r="I499" s="35">
        <v>323.68794371471773</v>
      </c>
      <c r="J499" s="35">
        <v>327.34167849363354</v>
      </c>
      <c r="K499" s="35">
        <v>363.9260769491496</v>
      </c>
      <c r="L499" s="35">
        <v>419.99075562814448</v>
      </c>
    </row>
    <row r="500" spans="1:12">
      <c r="A500" s="35">
        <v>257.39973718127868</v>
      </c>
      <c r="B500" s="35">
        <v>267.02111412790322</v>
      </c>
      <c r="C500" s="35">
        <v>242.46835943989703</v>
      </c>
      <c r="D500" s="35">
        <v>235.59504802017148</v>
      </c>
      <c r="E500" s="35">
        <v>294.32953087187121</v>
      </c>
      <c r="F500" s="35">
        <v>240.83480476314196</v>
      </c>
      <c r="G500" s="35">
        <v>252.79466652945186</v>
      </c>
      <c r="H500" s="35">
        <v>279.12128881213562</v>
      </c>
      <c r="I500" s="35">
        <v>306.71136723443715</v>
      </c>
      <c r="J500" s="35">
        <v>317.57307344980671</v>
      </c>
      <c r="K500" s="35">
        <v>340.42807543104641</v>
      </c>
      <c r="L500" s="35">
        <v>404.54687637485074</v>
      </c>
    </row>
    <row r="501" spans="1:12">
      <c r="A501" s="35">
        <v>232.0455132271598</v>
      </c>
      <c r="B501" s="35">
        <v>235.23261836950198</v>
      </c>
      <c r="C501" s="35">
        <v>237.36290477926704</v>
      </c>
      <c r="D501" s="35">
        <v>236.83900751092023</v>
      </c>
      <c r="E501" s="35">
        <v>269.21286920830448</v>
      </c>
      <c r="F501" s="35">
        <v>235.43786589138548</v>
      </c>
      <c r="G501" s="35">
        <v>252.55128434304237</v>
      </c>
      <c r="H501" s="35">
        <v>250.62636729967099</v>
      </c>
      <c r="I501" s="35">
        <v>268.48714777526021</v>
      </c>
      <c r="J501" s="35">
        <v>293.51551324991289</v>
      </c>
      <c r="K501" s="35">
        <v>301.65678357778683</v>
      </c>
      <c r="L501" s="35">
        <v>343.26453822520983</v>
      </c>
    </row>
    <row r="502" spans="1:12">
      <c r="A502" s="35">
        <v>240.81638512709077</v>
      </c>
      <c r="B502" s="35">
        <v>244.0651140129234</v>
      </c>
      <c r="C502" s="35">
        <v>244.14108918757094</v>
      </c>
      <c r="D502" s="35">
        <v>242.75302087485551</v>
      </c>
      <c r="E502" s="35">
        <v>266.86071314992546</v>
      </c>
      <c r="F502" s="35">
        <v>234.72332530183246</v>
      </c>
      <c r="G502" s="35">
        <v>249.57975104086296</v>
      </c>
      <c r="H502" s="35">
        <v>255.18361320524386</v>
      </c>
      <c r="I502" s="35">
        <v>270.50550144473215</v>
      </c>
      <c r="J502" s="35">
        <v>293.32483705557081</v>
      </c>
      <c r="K502" s="35">
        <v>299.41752094546132</v>
      </c>
      <c r="L502" s="35">
        <v>362.38227823531827</v>
      </c>
    </row>
    <row r="503" spans="1:12">
      <c r="A503" s="35">
        <v>250.99092462918409</v>
      </c>
      <c r="B503" s="35">
        <v>263.59674820656647</v>
      </c>
      <c r="C503" s="35">
        <v>226.77630701228662</v>
      </c>
      <c r="D503" s="35">
        <v>226.40828334336112</v>
      </c>
      <c r="E503" s="35">
        <v>261.82415613973882</v>
      </c>
      <c r="F503" s="35">
        <v>239.471644726623</v>
      </c>
      <c r="G503" s="35">
        <v>255.19260952505732</v>
      </c>
      <c r="H503" s="35">
        <v>258.53106993554627</v>
      </c>
      <c r="I503" s="35">
        <v>280.95588321695317</v>
      </c>
      <c r="J503" s="35">
        <v>288.33152903419108</v>
      </c>
      <c r="K503" s="35">
        <v>306.07240130132016</v>
      </c>
      <c r="L503" s="35">
        <v>363.02544305496212</v>
      </c>
    </row>
    <row r="504" spans="1:12">
      <c r="A504" s="35">
        <v>237.23146639779466</v>
      </c>
      <c r="B504" s="35">
        <v>266.39093489453001</v>
      </c>
      <c r="C504" s="35">
        <v>243.61277071601981</v>
      </c>
      <c r="D504" s="35">
        <v>215.29605454695999</v>
      </c>
      <c r="E504" s="35">
        <v>269.0377311973827</v>
      </c>
      <c r="F504" s="35">
        <v>237.53290567263653</v>
      </c>
      <c r="G504" s="35">
        <v>236.83881321301337</v>
      </c>
      <c r="H504" s="35">
        <v>246.10788509467952</v>
      </c>
      <c r="I504" s="35">
        <v>275.92665260627405</v>
      </c>
      <c r="J504" s="35">
        <v>288.60337261640376</v>
      </c>
      <c r="K504" s="35">
        <v>302.22321493741111</v>
      </c>
      <c r="L504" s="35">
        <v>347.04537904349968</v>
      </c>
    </row>
    <row r="505" spans="1:12">
      <c r="A505" s="35">
        <v>255.50188496275564</v>
      </c>
      <c r="B505" s="35">
        <v>275.08776815615624</v>
      </c>
      <c r="C505" s="35">
        <v>250.85719296764131</v>
      </c>
      <c r="D505" s="35">
        <v>252.75902904181507</v>
      </c>
      <c r="E505" s="35">
        <v>305.81872912338798</v>
      </c>
      <c r="F505" s="35">
        <v>260.90323964020644</v>
      </c>
      <c r="G505" s="35">
        <v>282.20169430938137</v>
      </c>
      <c r="H505" s="35">
        <v>300.63330922474682</v>
      </c>
      <c r="I505" s="35">
        <v>329.27319079188601</v>
      </c>
      <c r="J505" s="35">
        <v>348.8178568626592</v>
      </c>
      <c r="K505" s="35">
        <v>360.49820261231514</v>
      </c>
      <c r="L505" s="35">
        <v>423.48956899988121</v>
      </c>
    </row>
    <row r="506" spans="1:12">
      <c r="A506" s="35">
        <v>262.78910601164472</v>
      </c>
      <c r="B506" s="35">
        <v>274.98238103441622</v>
      </c>
      <c r="C506" s="35">
        <v>255.47834031502984</v>
      </c>
      <c r="D506" s="35">
        <v>252.56128104036407</v>
      </c>
      <c r="E506" s="35">
        <v>274.61379365398182</v>
      </c>
      <c r="F506" s="35">
        <v>254.34986648823252</v>
      </c>
      <c r="G506" s="35">
        <v>265.45244004664801</v>
      </c>
      <c r="H506" s="35">
        <v>269.90741796310033</v>
      </c>
      <c r="I506" s="35">
        <v>280.31845968428797</v>
      </c>
      <c r="J506" s="35">
        <v>284.19579526318819</v>
      </c>
      <c r="K506" s="35">
        <v>314.34177791063286</v>
      </c>
      <c r="L506" s="35">
        <v>345.24908666752958</v>
      </c>
    </row>
    <row r="507" spans="1:12">
      <c r="A507" s="35">
        <v>231.99733066054964</v>
      </c>
      <c r="B507" s="35">
        <v>246.03777180911513</v>
      </c>
      <c r="C507" s="35">
        <v>237.21545541898888</v>
      </c>
      <c r="D507" s="35">
        <v>235.75183485677675</v>
      </c>
      <c r="E507" s="35">
        <v>269.54881402043065</v>
      </c>
      <c r="F507" s="35">
        <v>241.08204967296177</v>
      </c>
      <c r="G507" s="35">
        <v>245.09822136498994</v>
      </c>
      <c r="H507" s="35">
        <v>244.84257359712603</v>
      </c>
      <c r="I507" s="35">
        <v>293.76872508933144</v>
      </c>
      <c r="J507" s="35">
        <v>279.85928860377157</v>
      </c>
      <c r="K507" s="35">
        <v>311.34574470253807</v>
      </c>
      <c r="L507" s="35">
        <v>358.44120207834317</v>
      </c>
    </row>
    <row r="508" spans="1:12">
      <c r="A508" s="35">
        <v>236.78615713897344</v>
      </c>
      <c r="B508" s="35">
        <v>264.12976939513118</v>
      </c>
      <c r="C508" s="35">
        <v>235.41491950738225</v>
      </c>
      <c r="D508" s="35">
        <v>243.09235867970864</v>
      </c>
      <c r="E508" s="35">
        <v>289.88211194496938</v>
      </c>
      <c r="F508" s="35">
        <v>259.07574050824184</v>
      </c>
      <c r="G508" s="35">
        <v>276.24854552127783</v>
      </c>
      <c r="H508" s="35">
        <v>255.32307200361456</v>
      </c>
      <c r="I508" s="35">
        <v>301.65073054673547</v>
      </c>
      <c r="J508" s="35">
        <v>321.10810203901849</v>
      </c>
      <c r="K508" s="35">
        <v>339.40750476884261</v>
      </c>
      <c r="L508" s="35">
        <v>405.59476419793475</v>
      </c>
    </row>
    <row r="509" spans="1:12">
      <c r="A509" s="35">
        <v>227.32224088381193</v>
      </c>
      <c r="B509" s="35">
        <v>244.19539318743293</v>
      </c>
      <c r="C509" s="35">
        <v>256.14913802055889</v>
      </c>
      <c r="D509" s="35">
        <v>240.02574911422639</v>
      </c>
      <c r="E509" s="35">
        <v>284.37576997014787</v>
      </c>
      <c r="F509" s="35">
        <v>234.41611181818635</v>
      </c>
      <c r="G509" s="35">
        <v>255.11161712515616</v>
      </c>
      <c r="H509" s="35">
        <v>228.17163482033757</v>
      </c>
      <c r="I509" s="35">
        <v>254.59670744336708</v>
      </c>
      <c r="J509" s="35">
        <v>278.62571663670974</v>
      </c>
      <c r="K509" s="35">
        <v>290.52417021576025</v>
      </c>
      <c r="L509" s="35">
        <v>331.57116966482027</v>
      </c>
    </row>
    <row r="510" spans="1:12">
      <c r="A510" s="35">
        <v>244.44111747250449</v>
      </c>
      <c r="B510" s="35">
        <v>250.02069145212747</v>
      </c>
      <c r="C510" s="35">
        <v>215.68492204988075</v>
      </c>
      <c r="D510" s="35">
        <v>226.57117218393105</v>
      </c>
      <c r="E510" s="35">
        <v>256.75826973953531</v>
      </c>
      <c r="F510" s="35">
        <v>224.7268563785947</v>
      </c>
      <c r="G510" s="35">
        <v>218.23107407239493</v>
      </c>
      <c r="H510" s="35">
        <v>235.26270236624728</v>
      </c>
      <c r="I510" s="35">
        <v>255.73345410165558</v>
      </c>
      <c r="J510" s="35">
        <v>243.13405270671552</v>
      </c>
      <c r="K510" s="35">
        <v>268.51231335477138</v>
      </c>
      <c r="L510" s="35">
        <v>281.05554053384981</v>
      </c>
    </row>
    <row r="511" spans="1:12">
      <c r="A511" s="35">
        <v>234.30339337495752</v>
      </c>
      <c r="B511" s="35">
        <v>246.13044078814681</v>
      </c>
      <c r="C511" s="35">
        <v>247.44051763501321</v>
      </c>
      <c r="D511" s="35">
        <v>232.21702828214771</v>
      </c>
      <c r="E511" s="35">
        <v>282.47352943410834</v>
      </c>
      <c r="F511" s="35">
        <v>241.77229269206833</v>
      </c>
      <c r="G511" s="35">
        <v>238.7308231519236</v>
      </c>
      <c r="H511" s="35">
        <v>253.05503810915857</v>
      </c>
      <c r="I511" s="35">
        <v>277.33776784010308</v>
      </c>
      <c r="J511" s="35">
        <v>286.60485659244102</v>
      </c>
      <c r="K511" s="35">
        <v>299.37897055076604</v>
      </c>
      <c r="L511" s="35">
        <v>352.70413398261076</v>
      </c>
    </row>
    <row r="512" spans="1:12">
      <c r="A512" s="35">
        <v>247.12852926535186</v>
      </c>
      <c r="B512" s="35">
        <v>257.93063734944303</v>
      </c>
      <c r="C512" s="35">
        <v>255.61324659378491</v>
      </c>
      <c r="D512" s="35">
        <v>244.97518728205995</v>
      </c>
      <c r="E512" s="35">
        <v>295.01187449141776</v>
      </c>
      <c r="F512" s="35">
        <v>260.70516626006224</v>
      </c>
      <c r="G512" s="35">
        <v>270.52758466295415</v>
      </c>
      <c r="H512" s="35">
        <v>280.96740582287896</v>
      </c>
      <c r="I512" s="35">
        <v>308.86328574941234</v>
      </c>
      <c r="J512" s="35">
        <v>317.10550566801163</v>
      </c>
      <c r="K512" s="35">
        <v>314.20674275133752</v>
      </c>
      <c r="L512" s="35">
        <v>378.22901419524277</v>
      </c>
    </row>
    <row r="513" spans="1:12">
      <c r="A513" s="35">
        <v>243.0108261597926</v>
      </c>
      <c r="B513" s="35">
        <v>262.06634178606595</v>
      </c>
      <c r="C513" s="35">
        <v>245.54239327078102</v>
      </c>
      <c r="D513" s="35">
        <v>242.43689937793616</v>
      </c>
      <c r="E513" s="35">
        <v>289.61537644621319</v>
      </c>
      <c r="F513" s="35">
        <v>262.67065537207696</v>
      </c>
      <c r="G513" s="35">
        <v>274.96555550390616</v>
      </c>
      <c r="H513" s="35">
        <v>276.72080903316157</v>
      </c>
      <c r="I513" s="35">
        <v>313.42621394324186</v>
      </c>
      <c r="J513" s="35">
        <v>329.25092699938449</v>
      </c>
      <c r="K513" s="35">
        <v>345.68330255600966</v>
      </c>
      <c r="L513" s="35">
        <v>426.14757146868106</v>
      </c>
    </row>
    <row r="514" spans="1:12">
      <c r="A514" s="35">
        <v>230.73229939111508</v>
      </c>
      <c r="B514" s="35">
        <v>267.94581071608957</v>
      </c>
      <c r="C514" s="35">
        <v>240.08991721300907</v>
      </c>
      <c r="D514" s="35">
        <v>244.17168911703124</v>
      </c>
      <c r="E514" s="35">
        <v>257.00957956910133</v>
      </c>
      <c r="F514" s="35">
        <v>222.6172977056824</v>
      </c>
      <c r="G514" s="35">
        <v>245.42573538187762</v>
      </c>
      <c r="H514" s="35">
        <v>240.16816814085686</v>
      </c>
      <c r="I514" s="35">
        <v>261.00201920651108</v>
      </c>
      <c r="J514" s="35">
        <v>261.25250735111354</v>
      </c>
      <c r="K514" s="35">
        <v>280.4894745106414</v>
      </c>
      <c r="L514" s="35">
        <v>334.21266269123475</v>
      </c>
    </row>
    <row r="515" spans="1:12">
      <c r="A515" s="35">
        <v>235.18153298274171</v>
      </c>
      <c r="B515" s="35">
        <v>260.99962375820581</v>
      </c>
      <c r="C515" s="35">
        <v>242.02777034904062</v>
      </c>
      <c r="D515" s="35">
        <v>254.45296553640011</v>
      </c>
      <c r="E515" s="35">
        <v>282.6497798612441</v>
      </c>
      <c r="F515" s="35">
        <v>241.87802283995606</v>
      </c>
      <c r="G515" s="35">
        <v>254.15612161801192</v>
      </c>
      <c r="H515" s="35">
        <v>274.31828180366176</v>
      </c>
      <c r="I515" s="35">
        <v>274.13840347052269</v>
      </c>
      <c r="J515" s="35">
        <v>308.73769266961665</v>
      </c>
      <c r="K515" s="35">
        <v>318.45784644166673</v>
      </c>
      <c r="L515" s="35">
        <v>361.1711754139057</v>
      </c>
    </row>
    <row r="516" spans="1:12">
      <c r="A516" s="35">
        <v>262.50624328354741</v>
      </c>
      <c r="B516" s="35">
        <v>292.40191294442394</v>
      </c>
      <c r="C516" s="35">
        <v>272.66767619456215</v>
      </c>
      <c r="D516" s="35">
        <v>277.32679271038586</v>
      </c>
      <c r="E516" s="35">
        <v>331.73769908152502</v>
      </c>
      <c r="F516" s="35">
        <v>281.93432142149408</v>
      </c>
      <c r="G516" s="35">
        <v>309.44191191428143</v>
      </c>
      <c r="H516" s="35">
        <v>316.85801199115377</v>
      </c>
      <c r="I516" s="35">
        <v>331.65053131681606</v>
      </c>
      <c r="J516" s="35">
        <v>370.9550916215552</v>
      </c>
      <c r="K516" s="35">
        <v>385.28526302932306</v>
      </c>
      <c r="L516" s="35">
        <v>450.21651638418922</v>
      </c>
    </row>
    <row r="517" spans="1:12">
      <c r="A517" s="35">
        <v>238.44692443813386</v>
      </c>
      <c r="B517" s="35">
        <v>280.48294966348885</v>
      </c>
      <c r="C517" s="35">
        <v>238.98893755526603</v>
      </c>
      <c r="D517" s="35">
        <v>238.12252257578962</v>
      </c>
      <c r="E517" s="35">
        <v>287.49728691709004</v>
      </c>
      <c r="F517" s="35">
        <v>247.50480925934039</v>
      </c>
      <c r="G517" s="35">
        <v>274.27425840249657</v>
      </c>
      <c r="H517" s="35">
        <v>274.7324050148747</v>
      </c>
      <c r="I517" s="35">
        <v>296.73571636975566</v>
      </c>
      <c r="J517" s="35">
        <v>312.35887896358872</v>
      </c>
      <c r="K517" s="35">
        <v>329.5509678150068</v>
      </c>
      <c r="L517" s="35">
        <v>392.43800936508802</v>
      </c>
    </row>
    <row r="518" spans="1:12">
      <c r="A518" s="35">
        <v>230.80567213063949</v>
      </c>
      <c r="B518" s="35">
        <v>257.18173062277236</v>
      </c>
      <c r="C518" s="35">
        <v>229.46713314584611</v>
      </c>
      <c r="D518" s="35">
        <v>225.38503083101523</v>
      </c>
      <c r="E518" s="35">
        <v>264.82962166166197</v>
      </c>
      <c r="F518" s="35">
        <v>224.84632678949373</v>
      </c>
      <c r="G518" s="35">
        <v>243.36853049995415</v>
      </c>
      <c r="H518" s="35">
        <v>244.07078291355458</v>
      </c>
      <c r="I518" s="35">
        <v>284.77585777156548</v>
      </c>
      <c r="J518" s="35">
        <v>271.99817322223288</v>
      </c>
      <c r="K518" s="35">
        <v>284.18231705038681</v>
      </c>
      <c r="L518" s="35">
        <v>332.45065140146022</v>
      </c>
    </row>
    <row r="519" spans="1:12">
      <c r="A519" s="35">
        <v>244.298159704261</v>
      </c>
      <c r="B519" s="35">
        <v>268.75757330804271</v>
      </c>
      <c r="C519" s="35">
        <v>265.5306133146812</v>
      </c>
      <c r="D519" s="35">
        <v>253.52179715144436</v>
      </c>
      <c r="E519" s="35">
        <v>285.70589166104747</v>
      </c>
      <c r="F519" s="35">
        <v>246.9087646703934</v>
      </c>
      <c r="G519" s="35">
        <v>264.96237369337177</v>
      </c>
      <c r="H519" s="35">
        <v>264.28301242960589</v>
      </c>
      <c r="I519" s="35">
        <v>290.70714225229864</v>
      </c>
      <c r="J519" s="35">
        <v>312.94519537840165</v>
      </c>
      <c r="K519" s="35">
        <v>315.86422639215021</v>
      </c>
      <c r="L519" s="35">
        <v>384.34666107043927</v>
      </c>
    </row>
    <row r="520" spans="1:12">
      <c r="A520" s="35">
        <v>223.90490684331468</v>
      </c>
      <c r="B520" s="35">
        <v>250.01890004991048</v>
      </c>
      <c r="C520" s="35">
        <v>237.76185427922326</v>
      </c>
      <c r="D520" s="35">
        <v>221.47027103031465</v>
      </c>
      <c r="E520" s="35">
        <v>259.8230678333274</v>
      </c>
      <c r="F520" s="35">
        <v>252.44170717061766</v>
      </c>
      <c r="G520" s="35">
        <v>255.38685366074392</v>
      </c>
      <c r="H520" s="35">
        <v>260.82425170591154</v>
      </c>
      <c r="I520" s="35">
        <v>298.8368108640073</v>
      </c>
      <c r="J520" s="35">
        <v>311.84531731701486</v>
      </c>
      <c r="K520" s="35">
        <v>308.84410614121089</v>
      </c>
      <c r="L520" s="35">
        <v>386.04177823339353</v>
      </c>
    </row>
    <row r="521" spans="1:12">
      <c r="A521" s="35">
        <v>248.28015599196459</v>
      </c>
      <c r="B521" s="35">
        <v>270.78707101463846</v>
      </c>
      <c r="C521" s="35">
        <v>236.67066919526872</v>
      </c>
      <c r="D521" s="35">
        <v>231.96426072772863</v>
      </c>
      <c r="E521" s="35">
        <v>286.29515213298197</v>
      </c>
      <c r="F521" s="35">
        <v>252.34117743347559</v>
      </c>
      <c r="G521" s="35">
        <v>248.01681021251929</v>
      </c>
      <c r="H521" s="35">
        <v>258.4370610465233</v>
      </c>
      <c r="I521" s="35">
        <v>284.98826430071415</v>
      </c>
      <c r="J521" s="35">
        <v>289.77368807761968</v>
      </c>
      <c r="K521" s="35">
        <v>304.77701644473564</v>
      </c>
      <c r="L521" s="35">
        <v>349.25968638141063</v>
      </c>
    </row>
    <row r="522" spans="1:12">
      <c r="A522" s="35">
        <v>249.94441408013913</v>
      </c>
      <c r="B522" s="35">
        <v>263.26326452875423</v>
      </c>
      <c r="C522" s="35">
        <v>238.69728982550782</v>
      </c>
      <c r="D522" s="35">
        <v>247.84908097786533</v>
      </c>
      <c r="E522" s="35">
        <v>287.09560720446154</v>
      </c>
      <c r="F522" s="35">
        <v>261.42874799958423</v>
      </c>
      <c r="G522" s="35">
        <v>257.01156127739085</v>
      </c>
      <c r="H522" s="35">
        <v>274.43465360145672</v>
      </c>
      <c r="I522" s="35">
        <v>294.67829512570938</v>
      </c>
      <c r="J522" s="35">
        <v>314.06362326568689</v>
      </c>
      <c r="K522" s="35">
        <v>332.21914880230389</v>
      </c>
      <c r="L522" s="35">
        <v>366.78065104636624</v>
      </c>
    </row>
    <row r="523" spans="1:12">
      <c r="A523" s="35">
        <v>240.38622921016469</v>
      </c>
      <c r="B523" s="35">
        <v>265.57238183811216</v>
      </c>
      <c r="C523" s="35">
        <v>256.38886078885878</v>
      </c>
      <c r="D523" s="35">
        <v>250.02525595008345</v>
      </c>
      <c r="E523" s="35">
        <v>287.76452466794507</v>
      </c>
      <c r="F523" s="35">
        <v>262.8039420410766</v>
      </c>
      <c r="G523" s="35">
        <v>271.73207215082078</v>
      </c>
      <c r="H523" s="35">
        <v>258.55353811508456</v>
      </c>
      <c r="I523" s="35">
        <v>292.79208104385168</v>
      </c>
      <c r="J523" s="35">
        <v>304.58714667711655</v>
      </c>
      <c r="K523" s="35">
        <v>324.37561705326073</v>
      </c>
      <c r="L523" s="35">
        <v>390.52031452719314</v>
      </c>
    </row>
    <row r="524" spans="1:12">
      <c r="A524" s="35">
        <v>247.07784482548462</v>
      </c>
      <c r="B524" s="35">
        <v>252.87679206129013</v>
      </c>
      <c r="C524" s="35">
        <v>232.9408642200475</v>
      </c>
      <c r="D524" s="35">
        <v>239.47349333048456</v>
      </c>
      <c r="E524" s="35">
        <v>275.38512201208698</v>
      </c>
      <c r="F524" s="35">
        <v>252.2393472737179</v>
      </c>
      <c r="G524" s="35">
        <v>241.30932417687083</v>
      </c>
      <c r="H524" s="35">
        <v>261.19872378864272</v>
      </c>
      <c r="I524" s="35">
        <v>296.26521850129643</v>
      </c>
      <c r="J524" s="35">
        <v>303.55338737944993</v>
      </c>
      <c r="K524" s="35">
        <v>310.60585157368513</v>
      </c>
      <c r="L524" s="35">
        <v>348.94277157400887</v>
      </c>
    </row>
    <row r="525" spans="1:12">
      <c r="A525" s="35">
        <v>253.07518174455265</v>
      </c>
      <c r="B525" s="35">
        <v>266.02254930934947</v>
      </c>
      <c r="C525" s="35">
        <v>233.53497388563906</v>
      </c>
      <c r="D525" s="35">
        <v>247.79000668562017</v>
      </c>
      <c r="E525" s="35">
        <v>294.57999574992635</v>
      </c>
      <c r="F525" s="35">
        <v>256.32365757309276</v>
      </c>
      <c r="G525" s="35">
        <v>248.01906912120677</v>
      </c>
      <c r="H525" s="35">
        <v>273.01002478307925</v>
      </c>
      <c r="I525" s="35">
        <v>287.38845314075405</v>
      </c>
      <c r="J525" s="35">
        <v>293.62388761271842</v>
      </c>
      <c r="K525" s="35">
        <v>311.83860732406691</v>
      </c>
      <c r="L525" s="35">
        <v>349.64595606876435</v>
      </c>
    </row>
    <row r="526" spans="1:12">
      <c r="A526" s="35">
        <v>240.43075529009491</v>
      </c>
      <c r="B526" s="35">
        <v>243.89164734466146</v>
      </c>
      <c r="C526" s="35">
        <v>233.73039401295185</v>
      </c>
      <c r="D526" s="35">
        <v>243.89792338238186</v>
      </c>
      <c r="E526" s="35">
        <v>263.57008872312565</v>
      </c>
      <c r="F526" s="35">
        <v>243.34535692205651</v>
      </c>
      <c r="G526" s="35">
        <v>236.97183336828627</v>
      </c>
      <c r="H526" s="35">
        <v>260.53454718702562</v>
      </c>
      <c r="I526" s="35">
        <v>280.1510300715604</v>
      </c>
      <c r="J526" s="35">
        <v>280.32210500461753</v>
      </c>
      <c r="K526" s="35">
        <v>313.80142524228927</v>
      </c>
      <c r="L526" s="35">
        <v>356.41246622079132</v>
      </c>
    </row>
    <row r="527" spans="1:12">
      <c r="A527" s="35">
        <v>234.98977430729553</v>
      </c>
      <c r="B527" s="35">
        <v>260.60169247161093</v>
      </c>
      <c r="C527" s="35">
        <v>221.70460086758914</v>
      </c>
      <c r="D527" s="35">
        <v>239.14377338896765</v>
      </c>
      <c r="E527" s="35">
        <v>278.11272911191378</v>
      </c>
      <c r="F527" s="35">
        <v>258.25078172018652</v>
      </c>
      <c r="G527" s="35">
        <v>256.84760898952521</v>
      </c>
      <c r="H527" s="35">
        <v>270.29828337040328</v>
      </c>
      <c r="I527" s="35">
        <v>281.8485807982504</v>
      </c>
      <c r="J527" s="35">
        <v>294.90328238567326</v>
      </c>
      <c r="K527" s="35">
        <v>318.44494480104208</v>
      </c>
      <c r="L527" s="35">
        <v>359.49602540064546</v>
      </c>
    </row>
    <row r="528" spans="1:12">
      <c r="A528" s="35">
        <v>248.64407578929664</v>
      </c>
      <c r="B528" s="35">
        <v>259.16341798884486</v>
      </c>
      <c r="C528" s="35">
        <v>271.99904929714592</v>
      </c>
      <c r="D528" s="35">
        <v>254.5851511940341</v>
      </c>
      <c r="E528" s="35">
        <v>307.14082669221921</v>
      </c>
      <c r="F528" s="35">
        <v>251.5422196685665</v>
      </c>
      <c r="G528" s="35">
        <v>282.69575351469121</v>
      </c>
      <c r="H528" s="35">
        <v>289.91642274193873</v>
      </c>
      <c r="I528" s="35">
        <v>308.51164634884162</v>
      </c>
      <c r="J528" s="35">
        <v>335.82403352996693</v>
      </c>
      <c r="K528" s="35">
        <v>360.98347534747205</v>
      </c>
      <c r="L528" s="35">
        <v>414.4378407028841</v>
      </c>
    </row>
    <row r="529" spans="1:12">
      <c r="A529" s="35">
        <v>234.91697342598428</v>
      </c>
      <c r="B529" s="35">
        <v>239.98210683505522</v>
      </c>
      <c r="C529" s="35">
        <v>209.99547674061608</v>
      </c>
      <c r="D529" s="35">
        <v>226.37492814061801</v>
      </c>
      <c r="E529" s="35">
        <v>232.5911516030333</v>
      </c>
      <c r="F529" s="35">
        <v>238.58741409528088</v>
      </c>
      <c r="G529" s="35">
        <v>245.60499406246876</v>
      </c>
      <c r="H529" s="35">
        <v>239.26549121386429</v>
      </c>
      <c r="I529" s="35">
        <v>265.92806271401417</v>
      </c>
      <c r="J529" s="35">
        <v>284.21332514862092</v>
      </c>
      <c r="K529" s="35">
        <v>276.53624588919723</v>
      </c>
      <c r="L529" s="35">
        <v>352.27727142200831</v>
      </c>
    </row>
    <row r="530" spans="1:12">
      <c r="A530" s="35">
        <v>245.48112081905774</v>
      </c>
      <c r="B530" s="35">
        <v>259.68716495383308</v>
      </c>
      <c r="C530" s="35">
        <v>247.97528605045304</v>
      </c>
      <c r="D530" s="35">
        <v>255.49568728974037</v>
      </c>
      <c r="E530" s="35">
        <v>296.4503015813832</v>
      </c>
      <c r="F530" s="35">
        <v>245.87944823485032</v>
      </c>
      <c r="G530" s="35">
        <v>251.79081579038646</v>
      </c>
      <c r="H530" s="35">
        <v>278.59091910329181</v>
      </c>
      <c r="I530" s="35">
        <v>292.54909083150329</v>
      </c>
      <c r="J530" s="35">
        <v>307.97967097483013</v>
      </c>
      <c r="K530" s="35">
        <v>312.15265880569547</v>
      </c>
      <c r="L530" s="35">
        <v>367.87792269390536</v>
      </c>
    </row>
    <row r="531" spans="1:12">
      <c r="A531" s="35">
        <v>246.64522619511646</v>
      </c>
      <c r="B531" s="35">
        <v>254.75246780899295</v>
      </c>
      <c r="C531" s="35">
        <v>252.25358750576856</v>
      </c>
      <c r="D531" s="35">
        <v>255.36943525087537</v>
      </c>
      <c r="E531" s="35">
        <v>295.99841979174664</v>
      </c>
      <c r="F531" s="35">
        <v>252.11863344345261</v>
      </c>
      <c r="G531" s="35">
        <v>281.96355993613827</v>
      </c>
      <c r="H531" s="35">
        <v>274.11688893534165</v>
      </c>
      <c r="I531" s="35">
        <v>331.18914408806353</v>
      </c>
      <c r="J531" s="35">
        <v>341.32963484569979</v>
      </c>
      <c r="K531" s="35">
        <v>350.05387827075259</v>
      </c>
      <c r="L531" s="35">
        <v>404.59247036266981</v>
      </c>
    </row>
    <row r="532" spans="1:12">
      <c r="A532" s="35">
        <v>244.84193759580009</v>
      </c>
      <c r="B532" s="35">
        <v>296.6641490422673</v>
      </c>
      <c r="C532" s="35">
        <v>260.21971091228312</v>
      </c>
      <c r="D532" s="35">
        <v>255.26366729244728</v>
      </c>
      <c r="E532" s="35">
        <v>296.27825870596178</v>
      </c>
      <c r="F532" s="35">
        <v>276.42167931743262</v>
      </c>
      <c r="G532" s="35">
        <v>261.38092353617253</v>
      </c>
      <c r="H532" s="35">
        <v>284.27622113606367</v>
      </c>
      <c r="I532" s="35">
        <v>293.54525172163142</v>
      </c>
      <c r="J532" s="35">
        <v>315.17555607479795</v>
      </c>
      <c r="K532" s="35">
        <v>351.34786172221976</v>
      </c>
      <c r="L532" s="35">
        <v>399.44771059920276</v>
      </c>
    </row>
    <row r="533" spans="1:12">
      <c r="A533" s="35">
        <v>241.38348812860505</v>
      </c>
      <c r="B533" s="35">
        <v>255.04315084297471</v>
      </c>
      <c r="C533" s="35">
        <v>227.06707755312533</v>
      </c>
      <c r="D533" s="35">
        <v>235.6359585767749</v>
      </c>
      <c r="E533" s="35">
        <v>261.50485952053805</v>
      </c>
      <c r="F533" s="35">
        <v>248.22563284117325</v>
      </c>
      <c r="G533" s="35">
        <v>252.88518393080403</v>
      </c>
      <c r="H533" s="35">
        <v>255.22699820080979</v>
      </c>
      <c r="I533" s="35">
        <v>280.06600324042432</v>
      </c>
      <c r="J533" s="35">
        <v>296.55537563502384</v>
      </c>
      <c r="K533" s="35">
        <v>304.32302707155588</v>
      </c>
      <c r="L533" s="35">
        <v>358.82665157558665</v>
      </c>
    </row>
    <row r="534" spans="1:12">
      <c r="A534" s="35">
        <v>259.36832541637386</v>
      </c>
      <c r="B534" s="35">
        <v>280.48826578121179</v>
      </c>
      <c r="C534" s="35">
        <v>245.2395007021417</v>
      </c>
      <c r="D534" s="35">
        <v>248.61064782366591</v>
      </c>
      <c r="E534" s="35">
        <v>294.63599084811506</v>
      </c>
      <c r="F534" s="35">
        <v>268.74220031436755</v>
      </c>
      <c r="G534" s="35">
        <v>254.08320995610217</v>
      </c>
      <c r="H534" s="35">
        <v>274.52807639301619</v>
      </c>
      <c r="I534" s="35">
        <v>322.75070834037865</v>
      </c>
      <c r="J534" s="35">
        <v>316.0711184765409</v>
      </c>
      <c r="K534" s="35">
        <v>321.02763530617619</v>
      </c>
      <c r="L534" s="35">
        <v>386.04682238822363</v>
      </c>
    </row>
    <row r="535" spans="1:12">
      <c r="A535" s="35">
        <v>249.05539767488406</v>
      </c>
      <c r="B535" s="35">
        <v>254.4369882835714</v>
      </c>
      <c r="C535" s="35">
        <v>245.60734768446733</v>
      </c>
      <c r="D535" s="35">
        <v>250.50374198042221</v>
      </c>
      <c r="E535" s="35">
        <v>291.77045656424724</v>
      </c>
      <c r="F535" s="35">
        <v>273.12897253703409</v>
      </c>
      <c r="G535" s="35">
        <v>270.57186663729874</v>
      </c>
      <c r="H535" s="35">
        <v>277.66455990402761</v>
      </c>
      <c r="I535" s="35">
        <v>315.35579669388972</v>
      </c>
      <c r="J535" s="35">
        <v>315.81539390537046</v>
      </c>
      <c r="K535" s="35">
        <v>350.06600020975918</v>
      </c>
      <c r="L535" s="35">
        <v>398.44988670832436</v>
      </c>
    </row>
    <row r="536" spans="1:12">
      <c r="A536" s="35">
        <v>235.65495496094184</v>
      </c>
      <c r="B536" s="35">
        <v>261.4902742216733</v>
      </c>
      <c r="C536" s="35">
        <v>234.3793415798738</v>
      </c>
      <c r="D536" s="35">
        <v>243.69129295265017</v>
      </c>
      <c r="E536" s="35">
        <v>282.67888945052931</v>
      </c>
      <c r="F536" s="35">
        <v>255.26440585279153</v>
      </c>
      <c r="G536" s="35">
        <v>261.96404233137736</v>
      </c>
      <c r="H536" s="35">
        <v>261.38288823325604</v>
      </c>
      <c r="I536" s="35">
        <v>278.4279225099778</v>
      </c>
      <c r="J536" s="35">
        <v>277.17419662666344</v>
      </c>
      <c r="K536" s="35">
        <v>308.45031538392664</v>
      </c>
      <c r="L536" s="35">
        <v>374.56368223333868</v>
      </c>
    </row>
    <row r="537" spans="1:12">
      <c r="A537" s="35">
        <v>254.85314732207979</v>
      </c>
      <c r="B537" s="35">
        <v>272.6513285255989</v>
      </c>
      <c r="C537" s="35">
        <v>254.49992162588615</v>
      </c>
      <c r="D537" s="35">
        <v>237.06766668644286</v>
      </c>
      <c r="E537" s="35">
        <v>294.05684485061522</v>
      </c>
      <c r="F537" s="35">
        <v>250.56255055244753</v>
      </c>
      <c r="G537" s="35">
        <v>249.496873858675</v>
      </c>
      <c r="H537" s="35">
        <v>272.41722336778935</v>
      </c>
      <c r="I537" s="35">
        <v>277.72519981690499</v>
      </c>
      <c r="J537" s="35">
        <v>287.51671152080957</v>
      </c>
      <c r="K537" s="35">
        <v>303.47897098981832</v>
      </c>
      <c r="L537" s="35">
        <v>377.12705793912704</v>
      </c>
    </row>
    <row r="538" spans="1:12">
      <c r="A538" s="35">
        <v>245.97794492044903</v>
      </c>
      <c r="B538" s="35">
        <v>261.44238741531797</v>
      </c>
      <c r="C538" s="35">
        <v>235.78135480847018</v>
      </c>
      <c r="D538" s="35">
        <v>238.37355501270696</v>
      </c>
      <c r="E538" s="35">
        <v>243.5137170342845</v>
      </c>
      <c r="F538" s="35">
        <v>238.98871432373844</v>
      </c>
      <c r="G538" s="35">
        <v>249.60977211503723</v>
      </c>
      <c r="H538" s="35">
        <v>263.2512442692863</v>
      </c>
      <c r="I538" s="35">
        <v>281.95418464450722</v>
      </c>
      <c r="J538" s="35">
        <v>289.07489241049637</v>
      </c>
      <c r="K538" s="35">
        <v>310.6794477263486</v>
      </c>
      <c r="L538" s="35">
        <v>358.42992164118596</v>
      </c>
    </row>
    <row r="539" spans="1:12">
      <c r="A539" s="35">
        <v>233.33390641386461</v>
      </c>
      <c r="B539" s="35">
        <v>242.42214216069908</v>
      </c>
      <c r="C539" s="35">
        <v>218.99725871667695</v>
      </c>
      <c r="D539" s="35">
        <v>248.38766418304823</v>
      </c>
      <c r="E539" s="35">
        <v>273.74972160137395</v>
      </c>
      <c r="F539" s="35">
        <v>244.06966747856248</v>
      </c>
      <c r="G539" s="35">
        <v>264.51815670932365</v>
      </c>
      <c r="H539" s="35">
        <v>275.94173298926898</v>
      </c>
      <c r="I539" s="35">
        <v>293.30934027807257</v>
      </c>
      <c r="J539" s="35">
        <v>291.15973609960656</v>
      </c>
      <c r="K539" s="35">
        <v>306.6714611869736</v>
      </c>
      <c r="L539" s="35">
        <v>376.62860019694796</v>
      </c>
    </row>
    <row r="540" spans="1:12">
      <c r="A540" s="35">
        <v>245.73227276306625</v>
      </c>
      <c r="B540" s="35">
        <v>279.220565777204</v>
      </c>
      <c r="C540" s="35">
        <v>253.41033833913357</v>
      </c>
      <c r="D540" s="35">
        <v>249.00364590319506</v>
      </c>
      <c r="E540" s="35">
        <v>285.69946174729233</v>
      </c>
      <c r="F540" s="35">
        <v>273.22757514203596</v>
      </c>
      <c r="G540" s="35">
        <v>282.15772584544936</v>
      </c>
      <c r="H540" s="35">
        <v>283.28013405920882</v>
      </c>
      <c r="I540" s="35">
        <v>309.17251457646842</v>
      </c>
      <c r="J540" s="35">
        <v>321.29625332948143</v>
      </c>
      <c r="K540" s="35">
        <v>345.12129093078181</v>
      </c>
      <c r="L540" s="35">
        <v>407.09058997907556</v>
      </c>
    </row>
    <row r="541" spans="1:12">
      <c r="A541" s="35">
        <v>245.62534846663831</v>
      </c>
      <c r="B541" s="35">
        <v>253.42926146900911</v>
      </c>
      <c r="C541" s="35">
        <v>219.75279695241352</v>
      </c>
      <c r="D541" s="35">
        <v>241.5369278152493</v>
      </c>
      <c r="E541" s="35">
        <v>261.01840592171027</v>
      </c>
      <c r="F541" s="35">
        <v>238.72748352050277</v>
      </c>
      <c r="G541" s="35">
        <v>252.63288192562609</v>
      </c>
      <c r="H541" s="35">
        <v>255.20318374865326</v>
      </c>
      <c r="I541" s="35">
        <v>264.1053092715531</v>
      </c>
      <c r="J541" s="35">
        <v>290.56172748823633</v>
      </c>
      <c r="K541" s="35">
        <v>316.77976302154542</v>
      </c>
      <c r="L541" s="35">
        <v>361.60338045092635</v>
      </c>
    </row>
    <row r="542" spans="1:12">
      <c r="A542" s="35">
        <v>244.38628894678592</v>
      </c>
      <c r="B542" s="35">
        <v>261.42778277755201</v>
      </c>
      <c r="C542" s="35">
        <v>264.81760344072467</v>
      </c>
      <c r="D542" s="35">
        <v>246.0787735712166</v>
      </c>
      <c r="E542" s="35">
        <v>266.10869690640476</v>
      </c>
      <c r="F542" s="35">
        <v>243.7329834308029</v>
      </c>
      <c r="G542" s="35">
        <v>258.28473620634531</v>
      </c>
      <c r="H542" s="35">
        <v>249.50087828083443</v>
      </c>
      <c r="I542" s="35">
        <v>260.00148152779457</v>
      </c>
      <c r="J542" s="35">
        <v>294.04814632380413</v>
      </c>
      <c r="K542" s="35">
        <v>302.55734370977569</v>
      </c>
      <c r="L542" s="35">
        <v>366.29774672314278</v>
      </c>
    </row>
    <row r="543" spans="1:12">
      <c r="A543" s="35">
        <v>246.00482857375118</v>
      </c>
      <c r="B543" s="35">
        <v>252.25565893835821</v>
      </c>
      <c r="C543" s="35">
        <v>227.27068777921679</v>
      </c>
      <c r="D543" s="35">
        <v>237.30159598689519</v>
      </c>
      <c r="E543" s="35">
        <v>261.30636654932351</v>
      </c>
      <c r="F543" s="35">
        <v>218.26511831834659</v>
      </c>
      <c r="G543" s="35">
        <v>258.81255224107156</v>
      </c>
      <c r="H543" s="35">
        <v>252.42506320202881</v>
      </c>
      <c r="I543" s="35">
        <v>270.20995051477655</v>
      </c>
      <c r="J543" s="35">
        <v>283.17686405555804</v>
      </c>
      <c r="K543" s="35">
        <v>294.61734970763831</v>
      </c>
      <c r="L543" s="35">
        <v>334.68119864567257</v>
      </c>
    </row>
    <row r="544" spans="1:12">
      <c r="A544" s="35">
        <v>237.29113550252745</v>
      </c>
      <c r="B544" s="35">
        <v>264.06374752894095</v>
      </c>
      <c r="C544" s="35">
        <v>243.07099187229474</v>
      </c>
      <c r="D544" s="35">
        <v>242.05888332849952</v>
      </c>
      <c r="E544" s="35">
        <v>295.75065882945825</v>
      </c>
      <c r="F544" s="35">
        <v>240.38068031671128</v>
      </c>
      <c r="G544" s="35">
        <v>238.46119788574183</v>
      </c>
      <c r="H544" s="35">
        <v>262.80218151668669</v>
      </c>
      <c r="I544" s="35">
        <v>265.81180211580539</v>
      </c>
      <c r="J544" s="35">
        <v>294.40211069738484</v>
      </c>
      <c r="K544" s="35">
        <v>285.00602331822722</v>
      </c>
      <c r="L544" s="35">
        <v>353.8399055253783</v>
      </c>
    </row>
    <row r="545" spans="1:12">
      <c r="A545" s="35">
        <v>239.44062420647381</v>
      </c>
      <c r="B545" s="35">
        <v>274.83903815870838</v>
      </c>
      <c r="C545" s="35">
        <v>251.31141230402358</v>
      </c>
      <c r="D545" s="35">
        <v>257.99043985849767</v>
      </c>
      <c r="E545" s="35">
        <v>284.27663483620591</v>
      </c>
      <c r="F545" s="35">
        <v>256.16995234936456</v>
      </c>
      <c r="G545" s="35">
        <v>277.14442526119797</v>
      </c>
      <c r="H545" s="35">
        <v>272.92973173939095</v>
      </c>
      <c r="I545" s="35">
        <v>294.60870194412666</v>
      </c>
      <c r="J545" s="35">
        <v>296.66593105706511</v>
      </c>
      <c r="K545" s="35">
        <v>324.13506696220878</v>
      </c>
      <c r="L545" s="35">
        <v>403.88412965897476</v>
      </c>
    </row>
    <row r="546" spans="1:12">
      <c r="A546" s="35">
        <v>235.17534792084541</v>
      </c>
      <c r="B546" s="35">
        <v>251.40276861794104</v>
      </c>
      <c r="C546" s="35">
        <v>241.62691147817372</v>
      </c>
      <c r="D546" s="35">
        <v>233.88734782032546</v>
      </c>
      <c r="E546" s="35">
        <v>293.34155532363832</v>
      </c>
      <c r="F546" s="35">
        <v>236.73215328434151</v>
      </c>
      <c r="G546" s="35">
        <v>254.81493363191112</v>
      </c>
      <c r="H546" s="35">
        <v>258.94992969589543</v>
      </c>
      <c r="I546" s="35">
        <v>265.66122988942567</v>
      </c>
      <c r="J546" s="35">
        <v>287.02301961341044</v>
      </c>
      <c r="K546" s="35">
        <v>312.18714740338061</v>
      </c>
      <c r="L546" s="35">
        <v>368.60641937095562</v>
      </c>
    </row>
    <row r="547" spans="1:12">
      <c r="A547" s="35">
        <v>247.19818038369803</v>
      </c>
      <c r="B547" s="35">
        <v>252.19536509682112</v>
      </c>
      <c r="C547" s="35">
        <v>248.92791616177519</v>
      </c>
      <c r="D547" s="35">
        <v>242.15493052473485</v>
      </c>
      <c r="E547" s="35">
        <v>284.23647163746483</v>
      </c>
      <c r="F547" s="35">
        <v>234.86452862474778</v>
      </c>
      <c r="G547" s="35">
        <v>240.9441976786882</v>
      </c>
      <c r="H547" s="35">
        <v>262.64028483085207</v>
      </c>
      <c r="I547" s="35">
        <v>295.57441521504381</v>
      </c>
      <c r="J547" s="35">
        <v>301.04722638351416</v>
      </c>
      <c r="K547" s="35">
        <v>330.32399391128996</v>
      </c>
      <c r="L547" s="35">
        <v>361.12449650471939</v>
      </c>
    </row>
    <row r="548" spans="1:12">
      <c r="A548" s="35">
        <v>248.84106605772482</v>
      </c>
      <c r="B548" s="35">
        <v>267.83024386484703</v>
      </c>
      <c r="C548" s="35">
        <v>225.80487808428506</v>
      </c>
      <c r="D548" s="35">
        <v>231.69376025956609</v>
      </c>
      <c r="E548" s="35">
        <v>266.67101895722516</v>
      </c>
      <c r="F548" s="35">
        <v>236.31327042160027</v>
      </c>
      <c r="G548" s="35">
        <v>229.53794333585827</v>
      </c>
      <c r="H548" s="35">
        <v>242.46524450694753</v>
      </c>
      <c r="I548" s="35">
        <v>253.46213586859611</v>
      </c>
      <c r="J548" s="35">
        <v>271.69411616823993</v>
      </c>
      <c r="K548" s="35">
        <v>304.91377280555713</v>
      </c>
      <c r="L548" s="35">
        <v>327.02418261615799</v>
      </c>
    </row>
    <row r="549" spans="1:12">
      <c r="A549" s="35">
        <v>234.81084128419729</v>
      </c>
      <c r="B549" s="35">
        <v>257.74003723410681</v>
      </c>
      <c r="C549" s="35">
        <v>227.63822005920082</v>
      </c>
      <c r="D549" s="35">
        <v>235.24515237237728</v>
      </c>
      <c r="E549" s="35">
        <v>258.87225828264849</v>
      </c>
      <c r="F549" s="35">
        <v>236.98613230963022</v>
      </c>
      <c r="G549" s="35">
        <v>238.17326192849512</v>
      </c>
      <c r="H549" s="35">
        <v>225.9496752117291</v>
      </c>
      <c r="I549" s="35">
        <v>247.67719894746418</v>
      </c>
      <c r="J549" s="35">
        <v>263.14147865008692</v>
      </c>
      <c r="K549" s="35">
        <v>272.25229177877912</v>
      </c>
      <c r="L549" s="35">
        <v>315.34118524973752</v>
      </c>
    </row>
    <row r="550" spans="1:12">
      <c r="A550" s="35">
        <v>241.3241874172806</v>
      </c>
      <c r="B550" s="35">
        <v>255.93453211740371</v>
      </c>
      <c r="C550" s="35">
        <v>234.91485755814449</v>
      </c>
      <c r="D550" s="35">
        <v>223.23825780258528</v>
      </c>
      <c r="E550" s="35">
        <v>256.16274023449648</v>
      </c>
      <c r="F550" s="35">
        <v>240.28398563953851</v>
      </c>
      <c r="G550" s="35">
        <v>256.42017255214824</v>
      </c>
      <c r="H550" s="35">
        <v>263.25604144506616</v>
      </c>
      <c r="I550" s="35">
        <v>269.7329245312427</v>
      </c>
      <c r="J550" s="35">
        <v>291.20983348033576</v>
      </c>
      <c r="K550" s="35">
        <v>306.78764294487803</v>
      </c>
      <c r="L550" s="35">
        <v>357.87927994443749</v>
      </c>
    </row>
    <row r="551" spans="1:12">
      <c r="A551" s="35">
        <v>251.76291856254116</v>
      </c>
      <c r="B551" s="35">
        <v>256.78906392559094</v>
      </c>
      <c r="C551" s="35">
        <v>232.21325574818817</v>
      </c>
      <c r="D551" s="35">
        <v>244.80755508040957</v>
      </c>
      <c r="E551" s="35">
        <v>252.72956232750713</v>
      </c>
      <c r="F551" s="35">
        <v>239.59218435750984</v>
      </c>
      <c r="G551" s="35">
        <v>241.84712274906059</v>
      </c>
      <c r="H551" s="35">
        <v>251.54403044740977</v>
      </c>
      <c r="I551" s="35">
        <v>266.68539314859817</v>
      </c>
      <c r="J551" s="35">
        <v>262.17853105698856</v>
      </c>
      <c r="K551" s="35">
        <v>289.64616888141848</v>
      </c>
      <c r="L551" s="35">
        <v>333.02105139173273</v>
      </c>
    </row>
    <row r="552" spans="1:12">
      <c r="A552" s="35">
        <v>247.31149325588567</v>
      </c>
      <c r="B552" s="35">
        <v>274.24377127416665</v>
      </c>
      <c r="C552" s="35">
        <v>233.58449935436499</v>
      </c>
      <c r="D552" s="35">
        <v>243.30545291714614</v>
      </c>
      <c r="E552" s="35">
        <v>273.0296116436536</v>
      </c>
      <c r="F552" s="35">
        <v>253.42638640197745</v>
      </c>
      <c r="G552" s="35">
        <v>255.40602955873604</v>
      </c>
      <c r="H552" s="35">
        <v>252.99915008169029</v>
      </c>
      <c r="I552" s="35">
        <v>291.30571450177985</v>
      </c>
      <c r="J552" s="35">
        <v>305.51143469377661</v>
      </c>
      <c r="K552" s="35">
        <v>321.51296639688024</v>
      </c>
      <c r="L552" s="35">
        <v>378.63571485860246</v>
      </c>
    </row>
    <row r="553" spans="1:12">
      <c r="A553" s="35">
        <v>245.14122319622686</v>
      </c>
      <c r="B553" s="35">
        <v>266.51771552164786</v>
      </c>
      <c r="C553" s="35">
        <v>237.86940822905314</v>
      </c>
      <c r="D553" s="35">
        <v>239.42022784473511</v>
      </c>
      <c r="E553" s="35">
        <v>293.57856778228017</v>
      </c>
      <c r="F553" s="35">
        <v>271.58492679989581</v>
      </c>
      <c r="G553" s="35">
        <v>285.82697569440381</v>
      </c>
      <c r="H553" s="35">
        <v>295.38146918579889</v>
      </c>
      <c r="I553" s="35">
        <v>314.35616778218207</v>
      </c>
      <c r="J553" s="35">
        <v>348.36025118234733</v>
      </c>
      <c r="K553" s="35">
        <v>363.34858153013971</v>
      </c>
      <c r="L553" s="35">
        <v>421.63055488949919</v>
      </c>
    </row>
    <row r="554" spans="1:12">
      <c r="A554" s="35">
        <v>251.33356734077466</v>
      </c>
      <c r="B554" s="35">
        <v>274.52258622014011</v>
      </c>
      <c r="C554" s="35">
        <v>251.01576702397196</v>
      </c>
      <c r="D554" s="35">
        <v>248.73874938895872</v>
      </c>
      <c r="E554" s="35">
        <v>298.76873416632827</v>
      </c>
      <c r="F554" s="35">
        <v>269.29979401211102</v>
      </c>
      <c r="G554" s="35">
        <v>279.76576247200177</v>
      </c>
      <c r="H554" s="35">
        <v>290.97207629385025</v>
      </c>
      <c r="I554" s="35">
        <v>330.10483603153796</v>
      </c>
      <c r="J554" s="35">
        <v>340.17464822176305</v>
      </c>
      <c r="K554" s="35">
        <v>371.23097871689123</v>
      </c>
      <c r="L554" s="35">
        <v>435.81108266557175</v>
      </c>
    </row>
    <row r="555" spans="1:12">
      <c r="A555" s="35">
        <v>242.2626097178649</v>
      </c>
      <c r="B555" s="35">
        <v>238.0237533691662</v>
      </c>
      <c r="C555" s="35">
        <v>229.87931936749789</v>
      </c>
      <c r="D555" s="35">
        <v>241.14286084925789</v>
      </c>
      <c r="E555" s="35">
        <v>268.00421522213651</v>
      </c>
      <c r="F555" s="35">
        <v>213.88478353514671</v>
      </c>
      <c r="G555" s="35">
        <v>241.44134303560188</v>
      </c>
      <c r="H555" s="35">
        <v>222.12373990342985</v>
      </c>
      <c r="I555" s="35">
        <v>252.04480722613908</v>
      </c>
      <c r="J555" s="35">
        <v>258.78425603615295</v>
      </c>
      <c r="K555" s="35">
        <v>255.99702748029344</v>
      </c>
      <c r="L555" s="35">
        <v>312.04245529446655</v>
      </c>
    </row>
    <row r="556" spans="1:12">
      <c r="A556" s="35">
        <v>260.27201736162903</v>
      </c>
      <c r="B556" s="35">
        <v>309.51738791511525</v>
      </c>
      <c r="C556" s="35">
        <v>257.97868603065035</v>
      </c>
      <c r="D556" s="35">
        <v>251.48413873329707</v>
      </c>
      <c r="E556" s="35">
        <v>315.51928951800045</v>
      </c>
      <c r="F556" s="35">
        <v>286.21913571715709</v>
      </c>
      <c r="G556" s="35">
        <v>293.89573040706478</v>
      </c>
      <c r="H556" s="35">
        <v>295.2384765842134</v>
      </c>
      <c r="I556" s="35">
        <v>335.20641284731846</v>
      </c>
      <c r="J556" s="35">
        <v>363.01795020189343</v>
      </c>
      <c r="K556" s="35">
        <v>382.60651195526475</v>
      </c>
      <c r="L556" s="35">
        <v>433.14268477203882</v>
      </c>
    </row>
    <row r="557" spans="1:12">
      <c r="A557" s="35">
        <v>234.3565044677641</v>
      </c>
      <c r="B557" s="35">
        <v>242.61585748250289</v>
      </c>
      <c r="C557" s="35">
        <v>227.20178484470745</v>
      </c>
      <c r="D557" s="35">
        <v>254.95868144826736</v>
      </c>
      <c r="E557" s="35">
        <v>268.44309094703596</v>
      </c>
      <c r="F557" s="35">
        <v>236.78889183677785</v>
      </c>
      <c r="G557" s="35">
        <v>243.89748508142742</v>
      </c>
      <c r="H557" s="35">
        <v>249.03027419443552</v>
      </c>
      <c r="I557" s="35">
        <v>256.47835525658638</v>
      </c>
      <c r="J557" s="35">
        <v>294.87525222871676</v>
      </c>
      <c r="K557" s="35">
        <v>302.91138251670748</v>
      </c>
      <c r="L557" s="35">
        <v>340.8986174223021</v>
      </c>
    </row>
    <row r="558" spans="1:12">
      <c r="A558" s="35">
        <v>234.32859625079942</v>
      </c>
      <c r="B558" s="35">
        <v>256.76068351976329</v>
      </c>
      <c r="C558" s="35">
        <v>246.10099428992723</v>
      </c>
      <c r="D558" s="35">
        <v>229.5622728992652</v>
      </c>
      <c r="E558" s="35">
        <v>285.87513821882436</v>
      </c>
      <c r="F558" s="35">
        <v>256.48014251828118</v>
      </c>
      <c r="G558" s="35">
        <v>260.28714319384937</v>
      </c>
      <c r="H558" s="35">
        <v>258.94181032234962</v>
      </c>
      <c r="I558" s="35">
        <v>272.0412786962267</v>
      </c>
      <c r="J558" s="35">
        <v>289.36507068172705</v>
      </c>
      <c r="K558" s="35">
        <v>305.86873949208359</v>
      </c>
      <c r="L558" s="35">
        <v>359.57420858411041</v>
      </c>
    </row>
    <row r="559" spans="1:12">
      <c r="A559" s="35">
        <v>233.82209315313909</v>
      </c>
      <c r="B559" s="35">
        <v>267.23411626009408</v>
      </c>
      <c r="C559" s="35">
        <v>229.76827551607116</v>
      </c>
      <c r="D559" s="35">
        <v>236.27933760044723</v>
      </c>
      <c r="E559" s="35">
        <v>285.21056105355404</v>
      </c>
      <c r="F559" s="35">
        <v>259.27677433120078</v>
      </c>
      <c r="G559" s="35">
        <v>267.03251173729069</v>
      </c>
      <c r="H559" s="35">
        <v>255.10021133827149</v>
      </c>
      <c r="I559" s="35">
        <v>299.69395715609016</v>
      </c>
      <c r="J559" s="35">
        <v>320.32319108741166</v>
      </c>
      <c r="K559" s="35">
        <v>308.89909492801911</v>
      </c>
      <c r="L559" s="35">
        <v>376.6363194261387</v>
      </c>
    </row>
    <row r="560" spans="1:12">
      <c r="A560" s="35">
        <v>258.41933352830409</v>
      </c>
      <c r="B560" s="35">
        <v>273.84440062798421</v>
      </c>
      <c r="C560" s="35">
        <v>259.01045054485792</v>
      </c>
      <c r="D560" s="35">
        <v>260.25941165778369</v>
      </c>
      <c r="E560" s="35">
        <v>308.20134746812289</v>
      </c>
      <c r="F560" s="35">
        <v>276.02557166039497</v>
      </c>
      <c r="G560" s="35">
        <v>273.52876076707184</v>
      </c>
      <c r="H560" s="35">
        <v>275.80677065388676</v>
      </c>
      <c r="I560" s="35">
        <v>312.08052892451741</v>
      </c>
      <c r="J560" s="35">
        <v>332.09887539699406</v>
      </c>
      <c r="K560" s="35">
        <v>324.03599558347832</v>
      </c>
      <c r="L560" s="35">
        <v>412.85101289049106</v>
      </c>
    </row>
    <row r="561" spans="1:12">
      <c r="A561" s="35">
        <v>255.51952819136685</v>
      </c>
      <c r="B561" s="35">
        <v>269.68617563227946</v>
      </c>
      <c r="C561" s="35">
        <v>245.18435926122513</v>
      </c>
      <c r="D561" s="35">
        <v>257.04870612987236</v>
      </c>
      <c r="E561" s="35">
        <v>301.82357536683043</v>
      </c>
      <c r="F561" s="35">
        <v>265.15859399803247</v>
      </c>
      <c r="G561" s="35">
        <v>286.17374772276139</v>
      </c>
      <c r="H561" s="35">
        <v>288.40307889151705</v>
      </c>
      <c r="I561" s="35">
        <v>326.06879315661433</v>
      </c>
      <c r="J561" s="35">
        <v>331.05421790924038</v>
      </c>
      <c r="K561" s="35">
        <v>336.2849840191106</v>
      </c>
      <c r="L561" s="35">
        <v>414.02789385052074</v>
      </c>
    </row>
    <row r="562" spans="1:12">
      <c r="A562" s="35">
        <v>233.670901502334</v>
      </c>
      <c r="B562" s="35">
        <v>257.01180571744993</v>
      </c>
      <c r="C562" s="35">
        <v>241.02040572211016</v>
      </c>
      <c r="D562" s="35">
        <v>237.14590633566962</v>
      </c>
      <c r="E562" s="35">
        <v>280.55092023715855</v>
      </c>
      <c r="F562" s="35">
        <v>238.00148818552057</v>
      </c>
      <c r="G562" s="35">
        <v>236.09992656883907</v>
      </c>
      <c r="H562" s="35">
        <v>261.81348863585606</v>
      </c>
      <c r="I562" s="35">
        <v>271.52247285424329</v>
      </c>
      <c r="J562" s="35">
        <v>299.44897285263028</v>
      </c>
      <c r="K562" s="35">
        <v>292.43097511327449</v>
      </c>
      <c r="L562" s="35">
        <v>353.3651980745808</v>
      </c>
    </row>
    <row r="563" spans="1:12">
      <c r="A563" s="35">
        <v>240.66487844045858</v>
      </c>
      <c r="B563" s="35">
        <v>270.74693960296503</v>
      </c>
      <c r="C563" s="35">
        <v>241.56110985172702</v>
      </c>
      <c r="D563" s="35">
        <v>238.33860302465212</v>
      </c>
      <c r="E563" s="35">
        <v>291.22207636773732</v>
      </c>
      <c r="F563" s="35">
        <v>258.80887080154741</v>
      </c>
      <c r="G563" s="35">
        <v>281.50413324592182</v>
      </c>
      <c r="H563" s="35">
        <v>298.52465136484301</v>
      </c>
      <c r="I563" s="35">
        <v>315.70732786503476</v>
      </c>
      <c r="J563" s="35">
        <v>326.92487379313974</v>
      </c>
      <c r="K563" s="35">
        <v>330.15287753226755</v>
      </c>
      <c r="L563" s="35">
        <v>396.67305954392805</v>
      </c>
    </row>
    <row r="564" spans="1:12">
      <c r="A564" s="35">
        <v>261.94709730291527</v>
      </c>
      <c r="B564" s="35">
        <v>279.07164044348906</v>
      </c>
      <c r="C564" s="35">
        <v>263.33609920680613</v>
      </c>
      <c r="D564" s="35">
        <v>258.18347078762184</v>
      </c>
      <c r="E564" s="35">
        <v>303.8102482233466</v>
      </c>
      <c r="F564" s="35">
        <v>258.6961762074281</v>
      </c>
      <c r="G564" s="35">
        <v>264.95434349473521</v>
      </c>
      <c r="H564" s="35">
        <v>285.73290205239232</v>
      </c>
      <c r="I564" s="35">
        <v>306.04485022517758</v>
      </c>
      <c r="J564" s="35">
        <v>309.78312752130859</v>
      </c>
      <c r="K564" s="35">
        <v>342.3936582272824</v>
      </c>
      <c r="L564" s="35">
        <v>380.61604320073212</v>
      </c>
    </row>
    <row r="565" spans="1:12">
      <c r="A565" s="35">
        <v>253.74171324045972</v>
      </c>
      <c r="B565" s="35">
        <v>268.70688389290393</v>
      </c>
      <c r="C565" s="35">
        <v>236.78651956542768</v>
      </c>
      <c r="D565" s="35">
        <v>246.1621383485635</v>
      </c>
      <c r="E565" s="35">
        <v>294.89269994421494</v>
      </c>
      <c r="F565" s="35">
        <v>270.33081646279743</v>
      </c>
      <c r="G565" s="35">
        <v>271.46581053503462</v>
      </c>
      <c r="H565" s="35">
        <v>274.27277876760678</v>
      </c>
      <c r="I565" s="35">
        <v>312.55776040797093</v>
      </c>
      <c r="J565" s="35">
        <v>323.63922800047669</v>
      </c>
      <c r="K565" s="35">
        <v>320.90696882587014</v>
      </c>
      <c r="L565" s="35">
        <v>410.46666180679875</v>
      </c>
    </row>
    <row r="566" spans="1:12">
      <c r="A566" s="35">
        <v>261.75208894036155</v>
      </c>
      <c r="B566" s="35">
        <v>278.215480700922</v>
      </c>
      <c r="C566" s="35">
        <v>240.87114669390277</v>
      </c>
      <c r="D566" s="35">
        <v>243.02644577593037</v>
      </c>
      <c r="E566" s="35">
        <v>290.82017608490446</v>
      </c>
      <c r="F566" s="35">
        <v>257.54421479124642</v>
      </c>
      <c r="G566" s="35">
        <v>260.2971836870492</v>
      </c>
      <c r="H566" s="35">
        <v>261.13798490889138</v>
      </c>
      <c r="I566" s="35">
        <v>303.45966224573328</v>
      </c>
      <c r="J566" s="35">
        <v>300.91678633851899</v>
      </c>
      <c r="K566" s="35">
        <v>308.4375715652194</v>
      </c>
      <c r="L566" s="35">
        <v>373.48254297337093</v>
      </c>
    </row>
    <row r="567" spans="1:12">
      <c r="A567" s="35">
        <v>225.46609897250983</v>
      </c>
      <c r="B567" s="35">
        <v>277.30866522937254</v>
      </c>
      <c r="C567" s="35">
        <v>225.88304040288074</v>
      </c>
      <c r="D567" s="35">
        <v>243.08573345744742</v>
      </c>
      <c r="E567" s="35">
        <v>277.6487036157875</v>
      </c>
      <c r="F567" s="35">
        <v>252.26860982952954</v>
      </c>
      <c r="G567" s="35">
        <v>259.15478951183024</v>
      </c>
      <c r="H567" s="35">
        <v>245.56654950557095</v>
      </c>
      <c r="I567" s="35">
        <v>292.54945057802297</v>
      </c>
      <c r="J567" s="35">
        <v>297.6168611121725</v>
      </c>
      <c r="K567" s="35">
        <v>300.11534516397614</v>
      </c>
      <c r="L567" s="35">
        <v>363.71724582042015</v>
      </c>
    </row>
    <row r="568" spans="1:12">
      <c r="A568" s="35">
        <v>249.75958738156621</v>
      </c>
      <c r="B568" s="35">
        <v>268.65076556282747</v>
      </c>
      <c r="C568" s="35">
        <v>233.82964746733543</v>
      </c>
      <c r="D568" s="35">
        <v>238.23023295776568</v>
      </c>
      <c r="E568" s="35">
        <v>283.66391006145318</v>
      </c>
      <c r="F568" s="35">
        <v>237.40556371653861</v>
      </c>
      <c r="G568" s="35">
        <v>248.71589547941761</v>
      </c>
      <c r="H568" s="35">
        <v>253.03448346219736</v>
      </c>
      <c r="I568" s="35">
        <v>277.62064877984795</v>
      </c>
      <c r="J568" s="35">
        <v>295.35035815114793</v>
      </c>
      <c r="K568" s="35">
        <v>298.14065055230577</v>
      </c>
      <c r="L568" s="35">
        <v>367.41949503634248</v>
      </c>
    </row>
    <row r="569" spans="1:12">
      <c r="A569" s="35">
        <v>229.89402774821346</v>
      </c>
      <c r="B569" s="35">
        <v>254.27887866980939</v>
      </c>
      <c r="C569" s="35">
        <v>239.39484456020844</v>
      </c>
      <c r="D569" s="35">
        <v>233.16697820450935</v>
      </c>
      <c r="E569" s="35">
        <v>262.12554933101501</v>
      </c>
      <c r="F569" s="35">
        <v>229.25163035449924</v>
      </c>
      <c r="G569" s="35">
        <v>255.05249379279539</v>
      </c>
      <c r="H569" s="35">
        <v>266.21815181361831</v>
      </c>
      <c r="I569" s="35">
        <v>264.47126495892968</v>
      </c>
      <c r="J569" s="35">
        <v>288.602565189085</v>
      </c>
      <c r="K569" s="35">
        <v>310.3482120596201</v>
      </c>
      <c r="L569" s="35">
        <v>356.7242086931426</v>
      </c>
    </row>
    <row r="570" spans="1:12">
      <c r="A570" s="35">
        <v>257.75556590639201</v>
      </c>
      <c r="B570" s="35">
        <v>251.49516051469433</v>
      </c>
      <c r="C570" s="35">
        <v>228.94156400442176</v>
      </c>
      <c r="D570" s="35">
        <v>246.4764057768331</v>
      </c>
      <c r="E570" s="35">
        <v>269.81895110913291</v>
      </c>
      <c r="F570" s="35">
        <v>254.3011721233008</v>
      </c>
      <c r="G570" s="35">
        <v>257.83782243215825</v>
      </c>
      <c r="H570" s="35">
        <v>246.8348632756236</v>
      </c>
      <c r="I570" s="35">
        <v>283.54839912282358</v>
      </c>
      <c r="J570" s="35">
        <v>299.04459730338561</v>
      </c>
      <c r="K570" s="35">
        <v>308.02214659649127</v>
      </c>
      <c r="L570" s="35">
        <v>350.03351343678543</v>
      </c>
    </row>
    <row r="571" spans="1:12">
      <c r="A571" s="35">
        <v>235.42534850126032</v>
      </c>
      <c r="B571" s="35">
        <v>265.80857762998011</v>
      </c>
      <c r="C571" s="35">
        <v>247.05638646409176</v>
      </c>
      <c r="D571" s="35">
        <v>246.4685978030669</v>
      </c>
      <c r="E571" s="35">
        <v>283.79859156440165</v>
      </c>
      <c r="F571" s="35">
        <v>246.83602944260682</v>
      </c>
      <c r="G571" s="35">
        <v>275.3493337246407</v>
      </c>
      <c r="H571" s="35">
        <v>258.75116198885155</v>
      </c>
      <c r="I571" s="35">
        <v>273.04971261119243</v>
      </c>
      <c r="J571" s="35">
        <v>285.73680236707884</v>
      </c>
      <c r="K571" s="35">
        <v>328.93885982155473</v>
      </c>
      <c r="L571" s="35">
        <v>360.0469118282785</v>
      </c>
    </row>
    <row r="572" spans="1:12">
      <c r="A572" s="35">
        <v>290.40598842005147</v>
      </c>
      <c r="B572" s="35">
        <v>287.32160616867162</v>
      </c>
      <c r="C572" s="35">
        <v>284.71229372734513</v>
      </c>
      <c r="D572" s="35">
        <v>285.29826533919908</v>
      </c>
      <c r="E572" s="35">
        <v>336.76432486658069</v>
      </c>
      <c r="F572" s="35">
        <v>297.2956338285619</v>
      </c>
      <c r="G572" s="35">
        <v>320.47378676218642</v>
      </c>
      <c r="H572" s="35">
        <v>330.9733072294942</v>
      </c>
      <c r="I572" s="35">
        <v>359.25516411139711</v>
      </c>
      <c r="J572" s="35">
        <v>384.61484757890065</v>
      </c>
      <c r="K572" s="35">
        <v>403.1908221080289</v>
      </c>
      <c r="L572" s="35">
        <v>489.9719936065942</v>
      </c>
    </row>
    <row r="573" spans="1:12">
      <c r="A573" s="35">
        <v>251.58844189209407</v>
      </c>
      <c r="B573" s="35">
        <v>266.49419783588166</v>
      </c>
      <c r="C573" s="35">
        <v>255.49000367821913</v>
      </c>
      <c r="D573" s="35">
        <v>265.33025736691536</v>
      </c>
      <c r="E573" s="35">
        <v>290.90503926326505</v>
      </c>
      <c r="F573" s="35">
        <v>274.15539755981769</v>
      </c>
      <c r="G573" s="35">
        <v>273.35832762900128</v>
      </c>
      <c r="H573" s="35">
        <v>275.40361164168172</v>
      </c>
      <c r="I573" s="35">
        <v>310.37401065674158</v>
      </c>
      <c r="J573" s="35">
        <v>331.55965016547265</v>
      </c>
      <c r="K573" s="35">
        <v>354.85387368771575</v>
      </c>
      <c r="L573" s="35">
        <v>421.33477551436079</v>
      </c>
    </row>
    <row r="574" spans="1:12">
      <c r="A574" s="35">
        <v>242.43875846762754</v>
      </c>
      <c r="B574" s="35">
        <v>268.10214384038829</v>
      </c>
      <c r="C574" s="35">
        <v>237.47934359487485</v>
      </c>
      <c r="D574" s="35">
        <v>232.14501071836401</v>
      </c>
      <c r="E574" s="35">
        <v>282.9167638684039</v>
      </c>
      <c r="F574" s="35">
        <v>247.55640934131515</v>
      </c>
      <c r="G574" s="35">
        <v>251.3870278384849</v>
      </c>
      <c r="H574" s="35">
        <v>256.11822688376969</v>
      </c>
      <c r="I574" s="35">
        <v>284.53513994519074</v>
      </c>
      <c r="J574" s="35">
        <v>320.20205294312348</v>
      </c>
      <c r="K574" s="35">
        <v>317.35241015694265</v>
      </c>
      <c r="L574" s="35">
        <v>362.65946567463737</v>
      </c>
    </row>
    <row r="575" spans="1:12">
      <c r="A575" s="35">
        <v>249.14699995077981</v>
      </c>
      <c r="B575" s="35">
        <v>260.08968859426324</v>
      </c>
      <c r="C575" s="35">
        <v>237.04441256528929</v>
      </c>
      <c r="D575" s="35">
        <v>255.28232521668056</v>
      </c>
      <c r="E575" s="35">
        <v>277.81003421036786</v>
      </c>
      <c r="F575" s="35">
        <v>259.50110244119196</v>
      </c>
      <c r="G575" s="35">
        <v>283.96669610965864</v>
      </c>
      <c r="H575" s="35">
        <v>269.54951621484565</v>
      </c>
      <c r="I575" s="35">
        <v>310.1928398156038</v>
      </c>
      <c r="J575" s="35">
        <v>331.47993396551595</v>
      </c>
      <c r="K575" s="35">
        <v>338.95578546670282</v>
      </c>
      <c r="L575" s="35">
        <v>399.13311910069945</v>
      </c>
    </row>
    <row r="576" spans="1:12">
      <c r="A576" s="35">
        <v>263.27226213985716</v>
      </c>
      <c r="B576" s="35">
        <v>268.51356604994101</v>
      </c>
      <c r="C576" s="35">
        <v>233.37294247989354</v>
      </c>
      <c r="D576" s="35">
        <v>231.14599870904004</v>
      </c>
      <c r="E576" s="35">
        <v>279.29958711661914</v>
      </c>
      <c r="F576" s="35">
        <v>235.82565539393093</v>
      </c>
      <c r="G576" s="35">
        <v>259.08709447492026</v>
      </c>
      <c r="H576" s="35">
        <v>261.36736945163977</v>
      </c>
      <c r="I576" s="35">
        <v>278.73128018090836</v>
      </c>
      <c r="J576" s="35">
        <v>288.93499558312192</v>
      </c>
      <c r="K576" s="35">
        <v>301.76950143093535</v>
      </c>
      <c r="L576" s="35">
        <v>352.88898423581139</v>
      </c>
    </row>
    <row r="577" spans="1:12">
      <c r="A577" s="35">
        <v>235.77298798806359</v>
      </c>
      <c r="B577" s="35">
        <v>265.00965019607412</v>
      </c>
      <c r="C577" s="35">
        <v>223.35635018649944</v>
      </c>
      <c r="D577" s="35">
        <v>227.59675801780818</v>
      </c>
      <c r="E577" s="35">
        <v>274.53441825887836</v>
      </c>
      <c r="F577" s="35">
        <v>252.88151280675015</v>
      </c>
      <c r="G577" s="35">
        <v>237.10937567007093</v>
      </c>
      <c r="H577" s="35">
        <v>243.6793103098781</v>
      </c>
      <c r="I577" s="35">
        <v>254.35205858706115</v>
      </c>
      <c r="J577" s="35">
        <v>257.18492312676466</v>
      </c>
      <c r="K577" s="35">
        <v>273.06262487843446</v>
      </c>
      <c r="L577" s="35">
        <v>336.60296582490525</v>
      </c>
    </row>
    <row r="578" spans="1:12">
      <c r="A578" s="35">
        <v>242.09557187177364</v>
      </c>
      <c r="B578" s="35">
        <v>246.90794634730733</v>
      </c>
      <c r="C578" s="35">
        <v>233.96569626855006</v>
      </c>
      <c r="D578" s="35">
        <v>242.87588167040425</v>
      </c>
      <c r="E578" s="35">
        <v>283.06968917220411</v>
      </c>
      <c r="F578" s="35">
        <v>239.20250640901261</v>
      </c>
      <c r="G578" s="35">
        <v>234.41145032731782</v>
      </c>
      <c r="H578" s="35">
        <v>276.88370728400173</v>
      </c>
      <c r="I578" s="35">
        <v>285.32557015221778</v>
      </c>
      <c r="J578" s="35">
        <v>277.90980811928165</v>
      </c>
      <c r="K578" s="35">
        <v>311.127400933074</v>
      </c>
      <c r="L578" s="35">
        <v>360.89950972404984</v>
      </c>
    </row>
    <row r="579" spans="1:12">
      <c r="A579" s="35">
        <v>265.25600972059226</v>
      </c>
      <c r="B579" s="35">
        <v>274.58740450348358</v>
      </c>
      <c r="C579" s="35">
        <v>252.5378152444847</v>
      </c>
      <c r="D579" s="35">
        <v>247.05545310061413</v>
      </c>
      <c r="E579" s="35">
        <v>303.59432336357759</v>
      </c>
      <c r="F579" s="35">
        <v>271.76200139507813</v>
      </c>
      <c r="G579" s="35">
        <v>286.06736772758472</v>
      </c>
      <c r="H579" s="35">
        <v>300.53856011869789</v>
      </c>
      <c r="I579" s="35">
        <v>319.14314745595374</v>
      </c>
      <c r="J579" s="35">
        <v>328.17484088507751</v>
      </c>
      <c r="K579" s="35">
        <v>353.74214656360169</v>
      </c>
      <c r="L579" s="35">
        <v>411.966517155487</v>
      </c>
    </row>
    <row r="580" spans="1:12">
      <c r="A580" s="35">
        <v>243.18590962024166</v>
      </c>
      <c r="B580" s="35">
        <v>247.16202732896167</v>
      </c>
      <c r="C580" s="35">
        <v>233.82271304977354</v>
      </c>
      <c r="D580" s="35">
        <v>217.15083521025181</v>
      </c>
      <c r="E580" s="35">
        <v>275.20211236655956</v>
      </c>
      <c r="F580" s="35">
        <v>219.72341279568911</v>
      </c>
      <c r="G580" s="35">
        <v>221.75668215155758</v>
      </c>
      <c r="H580" s="35">
        <v>221.77669386154727</v>
      </c>
      <c r="I580" s="35">
        <v>256.83280737630912</v>
      </c>
      <c r="J580" s="35">
        <v>266.45361350094441</v>
      </c>
      <c r="K580" s="35">
        <v>255.45339567007034</v>
      </c>
      <c r="L580" s="35">
        <v>316.4990744336564</v>
      </c>
    </row>
    <row r="581" spans="1:12">
      <c r="A581" s="35">
        <v>238.19261050564262</v>
      </c>
      <c r="B581" s="35">
        <v>253.73755365200711</v>
      </c>
      <c r="C581" s="35">
        <v>228.90454267240864</v>
      </c>
      <c r="D581" s="35">
        <v>247.7635423143563</v>
      </c>
      <c r="E581" s="35">
        <v>253.98986101170885</v>
      </c>
      <c r="F581" s="35">
        <v>236.78785490961499</v>
      </c>
      <c r="G581" s="35">
        <v>251.54081192824538</v>
      </c>
      <c r="H581" s="35">
        <v>252.33156701419895</v>
      </c>
      <c r="I581" s="35">
        <v>287.78988039378572</v>
      </c>
      <c r="J581" s="35">
        <v>282.39151229558576</v>
      </c>
      <c r="K581" s="35">
        <v>286.04136242830907</v>
      </c>
      <c r="L581" s="35">
        <v>347.65925572853081</v>
      </c>
    </row>
    <row r="582" spans="1:12">
      <c r="A582" s="35">
        <v>243.46555315940105</v>
      </c>
      <c r="B582" s="35">
        <v>245.61867242988697</v>
      </c>
      <c r="C582" s="35">
        <v>249.88178110285091</v>
      </c>
      <c r="D582" s="35">
        <v>239.46075808329357</v>
      </c>
      <c r="E582" s="35">
        <v>266.63835909498977</v>
      </c>
      <c r="F582" s="35">
        <v>252.31380969437689</v>
      </c>
      <c r="G582" s="35">
        <v>253.20379324133219</v>
      </c>
      <c r="H582" s="35">
        <v>255.49414126449508</v>
      </c>
      <c r="I582" s="35">
        <v>299.29327627102936</v>
      </c>
      <c r="J582" s="35">
        <v>292.35303389046396</v>
      </c>
      <c r="K582" s="35">
        <v>325.7762259334765</v>
      </c>
      <c r="L582" s="35">
        <v>377.22930161516143</v>
      </c>
    </row>
    <row r="583" spans="1:12">
      <c r="A583" s="35">
        <v>225.3043411633337</v>
      </c>
      <c r="B583" s="35">
        <v>255.62702094106521</v>
      </c>
      <c r="C583" s="35">
        <v>243.78774223932152</v>
      </c>
      <c r="D583" s="35">
        <v>229.1529178755938</v>
      </c>
      <c r="E583" s="35">
        <v>283.17828643524723</v>
      </c>
      <c r="F583" s="35">
        <v>254.04431390540353</v>
      </c>
      <c r="G583" s="35">
        <v>256.26034168247548</v>
      </c>
      <c r="H583" s="35">
        <v>258.83507972758116</v>
      </c>
      <c r="I583" s="35">
        <v>290.96550888567987</v>
      </c>
      <c r="J583" s="35">
        <v>293.34131238022184</v>
      </c>
      <c r="K583" s="35">
        <v>330.43927206913196</v>
      </c>
      <c r="L583" s="35">
        <v>380.33454099880703</v>
      </c>
    </row>
    <row r="584" spans="1:12">
      <c r="A584" s="35">
        <v>238.59753673153864</v>
      </c>
      <c r="B584" s="35">
        <v>270.17218245899255</v>
      </c>
      <c r="C584" s="35">
        <v>248.53786038096288</v>
      </c>
      <c r="D584" s="35">
        <v>239.76084769565853</v>
      </c>
      <c r="E584" s="35">
        <v>285.0352997961354</v>
      </c>
      <c r="F584" s="35">
        <v>260.75985101979313</v>
      </c>
      <c r="G584" s="35">
        <v>249.66170399673203</v>
      </c>
      <c r="H584" s="35">
        <v>269.32206350452861</v>
      </c>
      <c r="I584" s="35">
        <v>295.27441490085971</v>
      </c>
      <c r="J584" s="35">
        <v>301.76731753888987</v>
      </c>
      <c r="K584" s="35">
        <v>307.2740692669517</v>
      </c>
      <c r="L584" s="35">
        <v>375.58013650037032</v>
      </c>
    </row>
    <row r="585" spans="1:12">
      <c r="A585" s="35">
        <v>245.76491276314533</v>
      </c>
      <c r="B585" s="35">
        <v>252.8622537014306</v>
      </c>
      <c r="C585" s="35">
        <v>241.79004909996439</v>
      </c>
      <c r="D585" s="35">
        <v>236.10448808560866</v>
      </c>
      <c r="E585" s="35">
        <v>282.69913100674904</v>
      </c>
      <c r="F585" s="35">
        <v>252.08001199597305</v>
      </c>
      <c r="G585" s="35">
        <v>271.48298691070829</v>
      </c>
      <c r="H585" s="35">
        <v>278.71895283847516</v>
      </c>
      <c r="I585" s="35">
        <v>310.27015024603281</v>
      </c>
      <c r="J585" s="35">
        <v>311.05493592857357</v>
      </c>
      <c r="K585" s="35">
        <v>359.19238748546275</v>
      </c>
      <c r="L585" s="35">
        <v>408.93547817064797</v>
      </c>
    </row>
    <row r="586" spans="1:12">
      <c r="A586" s="35">
        <v>240.55151990557036</v>
      </c>
      <c r="B586" s="35">
        <v>266.46810125835736</v>
      </c>
      <c r="C586" s="35">
        <v>239.6267878009962</v>
      </c>
      <c r="D586" s="35">
        <v>246.39848984809018</v>
      </c>
      <c r="E586" s="35">
        <v>282.48606190437488</v>
      </c>
      <c r="F586" s="35">
        <v>251.63060243738303</v>
      </c>
      <c r="G586" s="35">
        <v>267.96650890294472</v>
      </c>
      <c r="H586" s="35">
        <v>255.23017395295716</v>
      </c>
      <c r="I586" s="35">
        <v>282.67901502724766</v>
      </c>
      <c r="J586" s="35">
        <v>299.30681954966161</v>
      </c>
      <c r="K586" s="35">
        <v>313.42870741040463</v>
      </c>
      <c r="L586" s="35">
        <v>382.05535368190709</v>
      </c>
    </row>
    <row r="587" spans="1:12">
      <c r="A587" s="35">
        <v>245.7058660303384</v>
      </c>
      <c r="B587" s="35">
        <v>257.89480644973673</v>
      </c>
      <c r="C587" s="35">
        <v>260.112913845116</v>
      </c>
      <c r="D587" s="35">
        <v>255.85603695793992</v>
      </c>
      <c r="E587" s="35">
        <v>286.55040903486446</v>
      </c>
      <c r="F587" s="35">
        <v>253.39803638839365</v>
      </c>
      <c r="G587" s="35">
        <v>248.87124560744746</v>
      </c>
      <c r="H587" s="35">
        <v>253.68790870247278</v>
      </c>
      <c r="I587" s="35">
        <v>291.11237495097629</v>
      </c>
      <c r="J587" s="35">
        <v>317.56002822176595</v>
      </c>
      <c r="K587" s="35">
        <v>328.37428493350183</v>
      </c>
      <c r="L587" s="35">
        <v>366.29247553118239</v>
      </c>
    </row>
    <row r="588" spans="1:12">
      <c r="A588" s="35">
        <v>222.47426312142332</v>
      </c>
      <c r="B588" s="35">
        <v>247.15629091003657</v>
      </c>
      <c r="C588" s="35">
        <v>219.02026198015818</v>
      </c>
      <c r="D588" s="35">
        <v>236.84710515473867</v>
      </c>
      <c r="E588" s="35">
        <v>257.67243656918561</v>
      </c>
      <c r="F588" s="35">
        <v>239.02305894387462</v>
      </c>
      <c r="G588" s="35">
        <v>241.56112473271469</v>
      </c>
      <c r="H588" s="35">
        <v>225.45987136433823</v>
      </c>
      <c r="I588" s="35">
        <v>259.95748466163639</v>
      </c>
      <c r="J588" s="35">
        <v>248.76284385587283</v>
      </c>
      <c r="K588" s="35">
        <v>263.14348819034399</v>
      </c>
      <c r="L588" s="35">
        <v>313.31196487407306</v>
      </c>
    </row>
    <row r="589" spans="1:12">
      <c r="A589" s="35">
        <v>229.50938085968943</v>
      </c>
      <c r="B589" s="35">
        <v>257.52691452264827</v>
      </c>
      <c r="C589" s="35">
        <v>230.19606606261337</v>
      </c>
      <c r="D589" s="35">
        <v>246.1541364131931</v>
      </c>
      <c r="E589" s="35">
        <v>248.06824503194227</v>
      </c>
      <c r="F589" s="35">
        <v>232.54134815422771</v>
      </c>
      <c r="G589" s="35">
        <v>225.27576130465977</v>
      </c>
      <c r="H589" s="35">
        <v>231.2209526762191</v>
      </c>
      <c r="I589" s="35">
        <v>253.80913377962605</v>
      </c>
      <c r="J589" s="35">
        <v>243.50394151017056</v>
      </c>
      <c r="K589" s="35">
        <v>282.23422058393118</v>
      </c>
      <c r="L589" s="35">
        <v>299.01038944215219</v>
      </c>
    </row>
    <row r="590" spans="1:12">
      <c r="A590" s="35">
        <v>243.9988468106493</v>
      </c>
      <c r="B590" s="35">
        <v>276.3425671746902</v>
      </c>
      <c r="C590" s="35">
        <v>250.97569449679179</v>
      </c>
      <c r="D590" s="35">
        <v>247.31812044726311</v>
      </c>
      <c r="E590" s="35">
        <v>279.6419472237522</v>
      </c>
      <c r="F590" s="35">
        <v>241.34293373919508</v>
      </c>
      <c r="G590" s="35">
        <v>250.89768199035328</v>
      </c>
      <c r="H590" s="35">
        <v>281.58281418272128</v>
      </c>
      <c r="I590" s="35">
        <v>277.23669435768744</v>
      </c>
      <c r="J590" s="35">
        <v>290.96206830750532</v>
      </c>
      <c r="K590" s="35">
        <v>318.71751128196928</v>
      </c>
      <c r="L590" s="35">
        <v>356.73893182069384</v>
      </c>
    </row>
    <row r="591" spans="1:12">
      <c r="A591" s="35">
        <v>235.51292398123198</v>
      </c>
      <c r="B591" s="35">
        <v>254.10856706897749</v>
      </c>
      <c r="C591" s="35">
        <v>250.25054409590206</v>
      </c>
      <c r="D591" s="35">
        <v>244.72391492534277</v>
      </c>
      <c r="E591" s="35">
        <v>280.08704280383432</v>
      </c>
      <c r="F591" s="35">
        <v>246.98303080876269</v>
      </c>
      <c r="G591" s="35">
        <v>270.80697930748329</v>
      </c>
      <c r="H591" s="35">
        <v>255.71208577601968</v>
      </c>
      <c r="I591" s="35">
        <v>297.07039903178259</v>
      </c>
      <c r="J591" s="35">
        <v>315.8533232386871</v>
      </c>
      <c r="K591" s="35">
        <v>342.89625231351397</v>
      </c>
      <c r="L591" s="35">
        <v>403.32949208074848</v>
      </c>
    </row>
    <row r="592" spans="1:12">
      <c r="A592" s="35">
        <v>242.83604912246793</v>
      </c>
      <c r="B592" s="35">
        <v>267.05270085664301</v>
      </c>
      <c r="C592" s="35">
        <v>245.17728383941903</v>
      </c>
      <c r="D592" s="35">
        <v>244.78016026102881</v>
      </c>
      <c r="E592" s="35">
        <v>273.18835955175177</v>
      </c>
      <c r="F592" s="35">
        <v>248.28371235550796</v>
      </c>
      <c r="G592" s="35">
        <v>269.76555551756542</v>
      </c>
      <c r="H592" s="35">
        <v>284.96116271061965</v>
      </c>
      <c r="I592" s="35">
        <v>291.57101641702712</v>
      </c>
      <c r="J592" s="35">
        <v>320.22911323213879</v>
      </c>
      <c r="K592" s="35">
        <v>341.49878816931101</v>
      </c>
      <c r="L592" s="35">
        <v>373.31364915586488</v>
      </c>
    </row>
    <row r="593" spans="1:12">
      <c r="A593" s="35">
        <v>250.65876244933298</v>
      </c>
      <c r="B593" s="35">
        <v>276.30637181130891</v>
      </c>
      <c r="C593" s="35">
        <v>247.87274169492557</v>
      </c>
      <c r="D593" s="35">
        <v>253.14989581406638</v>
      </c>
      <c r="E593" s="35">
        <v>315.07309905272689</v>
      </c>
      <c r="F593" s="35">
        <v>280.87659733849461</v>
      </c>
      <c r="G593" s="35">
        <v>276.54068828091613</v>
      </c>
      <c r="H593" s="35">
        <v>277.55549147133962</v>
      </c>
      <c r="I593" s="35">
        <v>325.00965590909328</v>
      </c>
      <c r="J593" s="35">
        <v>330.66108172084535</v>
      </c>
      <c r="K593" s="35">
        <v>361.87538722982373</v>
      </c>
      <c r="L593" s="35">
        <v>422.64105934517971</v>
      </c>
    </row>
    <row r="594" spans="1:12">
      <c r="A594" s="35">
        <v>240.63832464695534</v>
      </c>
      <c r="B594" s="35">
        <v>260.49671087869763</v>
      </c>
      <c r="C594" s="35">
        <v>248.1875688749825</v>
      </c>
      <c r="D594" s="35">
        <v>243.38791234499146</v>
      </c>
      <c r="E594" s="35">
        <v>281.02117680470195</v>
      </c>
      <c r="F594" s="35">
        <v>240.98047048525447</v>
      </c>
      <c r="G594" s="35">
        <v>263.51420764513927</v>
      </c>
      <c r="H594" s="35">
        <v>258.73632152579148</v>
      </c>
      <c r="I594" s="35">
        <v>282.13123411780617</v>
      </c>
      <c r="J594" s="35">
        <v>301.60020809220339</v>
      </c>
      <c r="K594" s="35">
        <v>325.52130356629408</v>
      </c>
      <c r="L594" s="35">
        <v>392.11572332831366</v>
      </c>
    </row>
    <row r="595" spans="1:12">
      <c r="A595" s="35">
        <v>250.88064357526824</v>
      </c>
      <c r="B595" s="35">
        <v>273.21663883146817</v>
      </c>
      <c r="C595" s="35">
        <v>248.40740559661805</v>
      </c>
      <c r="D595" s="35">
        <v>248.21433463785687</v>
      </c>
      <c r="E595" s="35">
        <v>284.7194628853515</v>
      </c>
      <c r="F595" s="35">
        <v>266.80065579239141</v>
      </c>
      <c r="G595" s="35">
        <v>275.77196100798318</v>
      </c>
      <c r="H595" s="35">
        <v>290.18196580161151</v>
      </c>
      <c r="I595" s="35">
        <v>328.64686245449548</v>
      </c>
      <c r="J595" s="35">
        <v>309.7612640261965</v>
      </c>
      <c r="K595" s="35">
        <v>349.05028439730302</v>
      </c>
      <c r="L595" s="35">
        <v>396.19338434585012</v>
      </c>
    </row>
    <row r="596" spans="1:12">
      <c r="A596" s="35">
        <v>247.90268609815502</v>
      </c>
      <c r="B596" s="35">
        <v>260.87097886564027</v>
      </c>
      <c r="C596" s="35">
        <v>246.29278862847161</v>
      </c>
      <c r="D596" s="35">
        <v>215.94403158612016</v>
      </c>
      <c r="E596" s="35">
        <v>280.42033277179991</v>
      </c>
      <c r="F596" s="35">
        <v>257.11452176722719</v>
      </c>
      <c r="G596" s="35">
        <v>250.35684535577869</v>
      </c>
      <c r="H596" s="35">
        <v>262.20477698952271</v>
      </c>
      <c r="I596" s="35">
        <v>295.43241821383879</v>
      </c>
      <c r="J596" s="35">
        <v>300.95842475136135</v>
      </c>
      <c r="K596" s="35">
        <v>313.64130533298567</v>
      </c>
      <c r="L596" s="35">
        <v>364.76005281820488</v>
      </c>
    </row>
    <row r="597" spans="1:12">
      <c r="A597" s="35">
        <v>244.23561921594148</v>
      </c>
      <c r="B597" s="35">
        <v>246.56003781520198</v>
      </c>
      <c r="C597" s="35">
        <v>245.2270011786471</v>
      </c>
      <c r="D597" s="35">
        <v>218.65633376158002</v>
      </c>
      <c r="E597" s="35">
        <v>256.36597928686984</v>
      </c>
      <c r="F597" s="35">
        <v>242.47022631259216</v>
      </c>
      <c r="G597" s="35">
        <v>259.20816289065385</v>
      </c>
      <c r="H597" s="35">
        <v>232.91178649975262</v>
      </c>
      <c r="I597" s="35">
        <v>271.78002920725083</v>
      </c>
      <c r="J597" s="35">
        <v>284.35055249164662</v>
      </c>
      <c r="K597" s="35">
        <v>291.25452708395989</v>
      </c>
      <c r="L597" s="35">
        <v>349.79770304921561</v>
      </c>
    </row>
    <row r="598" spans="1:12">
      <c r="A598" s="35">
        <v>260.13237880642794</v>
      </c>
      <c r="B598" s="35">
        <v>260.12595911104262</v>
      </c>
      <c r="C598" s="35">
        <v>241.91938060494707</v>
      </c>
      <c r="D598" s="35">
        <v>220.07814938927345</v>
      </c>
      <c r="E598" s="35">
        <v>278.65097718003801</v>
      </c>
      <c r="F598" s="35">
        <v>253.78982705498453</v>
      </c>
      <c r="G598" s="35">
        <v>266.13957658372044</v>
      </c>
      <c r="H598" s="35">
        <v>241.77657284800591</v>
      </c>
      <c r="I598" s="35">
        <v>294.79614107653907</v>
      </c>
      <c r="J598" s="35">
        <v>318.86455953631463</v>
      </c>
      <c r="K598" s="35">
        <v>318.9838838245729</v>
      </c>
      <c r="L598" s="35">
        <v>370.84145497569614</v>
      </c>
    </row>
    <row r="599" spans="1:12">
      <c r="A599" s="35">
        <v>256.54727030322152</v>
      </c>
      <c r="B599" s="35">
        <v>258.76954694801282</v>
      </c>
      <c r="C599" s="35">
        <v>252.14624881238129</v>
      </c>
      <c r="D599" s="35">
        <v>262.19379583012841</v>
      </c>
      <c r="E599" s="35">
        <v>275.46757888686096</v>
      </c>
      <c r="F599" s="35">
        <v>258.86533599980442</v>
      </c>
      <c r="G599" s="35">
        <v>242.85157682149213</v>
      </c>
      <c r="H599" s="35">
        <v>266.92019448208583</v>
      </c>
      <c r="I599" s="35">
        <v>289.95877117768998</v>
      </c>
      <c r="J599" s="35">
        <v>295.16408769975749</v>
      </c>
      <c r="K599" s="35">
        <v>316.4191927619421</v>
      </c>
      <c r="L599" s="35">
        <v>357.46219121989316</v>
      </c>
    </row>
    <row r="600" spans="1:12">
      <c r="A600" s="35">
        <v>248.72567940513309</v>
      </c>
      <c r="B600" s="35">
        <v>261.97353699313476</v>
      </c>
      <c r="C600" s="35">
        <v>244.96290993234152</v>
      </c>
      <c r="D600" s="35">
        <v>238.75954015988398</v>
      </c>
      <c r="E600" s="35">
        <v>295.50070975097321</v>
      </c>
      <c r="F600" s="35">
        <v>268.59307902963474</v>
      </c>
      <c r="G600" s="35">
        <v>264.10210691735182</v>
      </c>
      <c r="H600" s="35">
        <v>271.48706099226871</v>
      </c>
      <c r="I600" s="35">
        <v>298.92395543197404</v>
      </c>
      <c r="J600" s="35">
        <v>317.66791974948706</v>
      </c>
      <c r="K600" s="35">
        <v>325.19001553654533</v>
      </c>
      <c r="L600" s="35">
        <v>371.90225612032867</v>
      </c>
    </row>
    <row r="601" spans="1:12">
      <c r="A601" s="35">
        <v>252.95051082657693</v>
      </c>
      <c r="B601" s="35">
        <v>267.60304652056902</v>
      </c>
      <c r="C601" s="35">
        <v>250.71861107043401</v>
      </c>
      <c r="D601" s="35">
        <v>238.35809894240947</v>
      </c>
      <c r="E601" s="35">
        <v>296.45062944716284</v>
      </c>
      <c r="F601" s="35">
        <v>274.41094046087255</v>
      </c>
      <c r="G601" s="35">
        <v>271.56707910246024</v>
      </c>
      <c r="H601" s="35">
        <v>279.26971725792311</v>
      </c>
      <c r="I601" s="35">
        <v>308.37091956648226</v>
      </c>
      <c r="J601" s="35">
        <v>311.45992402480192</v>
      </c>
      <c r="K601" s="35">
        <v>347.4668507684363</v>
      </c>
      <c r="L601" s="35">
        <v>396.54494478010844</v>
      </c>
    </row>
    <row r="602" spans="1:12">
      <c r="A602" s="35">
        <v>245.96323864366315</v>
      </c>
      <c r="B602" s="35">
        <v>255.01613495976881</v>
      </c>
      <c r="C602" s="35">
        <v>241.72452390311477</v>
      </c>
      <c r="D602" s="35">
        <v>245.23523605965224</v>
      </c>
      <c r="E602" s="35">
        <v>283.41589041403387</v>
      </c>
      <c r="F602" s="35">
        <v>243.54728723364883</v>
      </c>
      <c r="G602" s="35">
        <v>239.19830616542305</v>
      </c>
      <c r="H602" s="35">
        <v>278.25369744257699</v>
      </c>
      <c r="I602" s="35">
        <v>286.18055709176446</v>
      </c>
      <c r="J602" s="35">
        <v>300.57886419867117</v>
      </c>
      <c r="K602" s="35">
        <v>316.11617368074673</v>
      </c>
      <c r="L602" s="35">
        <v>389.73256588131653</v>
      </c>
    </row>
    <row r="603" spans="1:12">
      <c r="A603" s="35">
        <v>256.16328917019979</v>
      </c>
      <c r="B603" s="35">
        <v>264.48384692568197</v>
      </c>
      <c r="C603" s="35">
        <v>253.72999675034276</v>
      </c>
      <c r="D603" s="35">
        <v>244.77292489157631</v>
      </c>
      <c r="E603" s="35">
        <v>291.45961550472123</v>
      </c>
      <c r="F603" s="35">
        <v>258.17293715230375</v>
      </c>
      <c r="G603" s="35">
        <v>269.86039703207877</v>
      </c>
      <c r="H603" s="35">
        <v>288.52803959619985</v>
      </c>
      <c r="I603" s="35">
        <v>302.37057865466733</v>
      </c>
      <c r="J603" s="35">
        <v>335.15142583345869</v>
      </c>
      <c r="K603" s="35">
        <v>338.55745284699822</v>
      </c>
      <c r="L603" s="35">
        <v>421.96645613908589</v>
      </c>
    </row>
    <row r="604" spans="1:12">
      <c r="A604" s="35">
        <v>249.29607768801597</v>
      </c>
      <c r="B604" s="35">
        <v>263.51121430791773</v>
      </c>
      <c r="C604" s="35">
        <v>248.47449194571908</v>
      </c>
      <c r="D604" s="35">
        <v>225.14836325509728</v>
      </c>
      <c r="E604" s="35">
        <v>285.69162709516945</v>
      </c>
      <c r="F604" s="35">
        <v>259.90060175154565</v>
      </c>
      <c r="G604" s="35">
        <v>252.22120692637702</v>
      </c>
      <c r="H604" s="35">
        <v>267.77085471919031</v>
      </c>
      <c r="I604" s="35">
        <v>295.20993476120145</v>
      </c>
      <c r="J604" s="35">
        <v>322.73501171850103</v>
      </c>
      <c r="K604" s="35">
        <v>327.90747732875298</v>
      </c>
      <c r="L604" s="35">
        <v>388.587090304463</v>
      </c>
    </row>
    <row r="605" spans="1:12">
      <c r="A605" s="35">
        <v>224.86222183625665</v>
      </c>
      <c r="B605" s="35">
        <v>248.88594357714837</v>
      </c>
      <c r="C605" s="35">
        <v>230.83005273432494</v>
      </c>
      <c r="D605" s="35">
        <v>212.32382443994743</v>
      </c>
      <c r="E605" s="35">
        <v>281.97111211064941</v>
      </c>
      <c r="F605" s="35">
        <v>227.07267321536841</v>
      </c>
      <c r="G605" s="35">
        <v>252.72262511685227</v>
      </c>
      <c r="H605" s="35">
        <v>241.36764509337846</v>
      </c>
      <c r="I605" s="35">
        <v>273.60292807341295</v>
      </c>
      <c r="J605" s="35">
        <v>268.83473015266679</v>
      </c>
      <c r="K605" s="35">
        <v>298.35208055261336</v>
      </c>
      <c r="L605" s="35">
        <v>335.37669448782714</v>
      </c>
    </row>
    <row r="606" spans="1:12">
      <c r="A606" s="35">
        <v>239.17267762092618</v>
      </c>
      <c r="B606" s="35">
        <v>259.18880813004921</v>
      </c>
      <c r="C606" s="35">
        <v>249.28323390401536</v>
      </c>
      <c r="D606" s="35">
        <v>246.43641714959784</v>
      </c>
      <c r="E606" s="35">
        <v>280.56782242755139</v>
      </c>
      <c r="F606" s="35">
        <v>249.9451235431398</v>
      </c>
      <c r="G606" s="35">
        <v>271.41758334950885</v>
      </c>
      <c r="H606" s="35">
        <v>277.58303644844312</v>
      </c>
      <c r="I606" s="35">
        <v>293.22786956450079</v>
      </c>
      <c r="J606" s="35">
        <v>300.64981600420327</v>
      </c>
      <c r="K606" s="35">
        <v>321.80079815191414</v>
      </c>
      <c r="L606" s="35">
        <v>392.74608780997761</v>
      </c>
    </row>
    <row r="607" spans="1:12">
      <c r="A607" s="35">
        <v>257.02843752099506</v>
      </c>
      <c r="B607" s="35">
        <v>279.41278895786581</v>
      </c>
      <c r="C607" s="35">
        <v>244.64814694024594</v>
      </c>
      <c r="D607" s="35">
        <v>249.37201269547353</v>
      </c>
      <c r="E607" s="35">
        <v>280.98691683759199</v>
      </c>
      <c r="F607" s="35">
        <v>254.72126998867626</v>
      </c>
      <c r="G607" s="35">
        <v>265.53679553058737</v>
      </c>
      <c r="H607" s="35">
        <v>281.94328267971332</v>
      </c>
      <c r="I607" s="35">
        <v>307.12483566664366</v>
      </c>
      <c r="J607" s="35">
        <v>319.4576850097211</v>
      </c>
      <c r="K607" s="35">
        <v>343.40450893649273</v>
      </c>
      <c r="L607" s="35">
        <v>398.25908280715112</v>
      </c>
    </row>
    <row r="608" spans="1:12">
      <c r="A608" s="35">
        <v>255.9584875073615</v>
      </c>
      <c r="B608" s="35">
        <v>281.2144277309518</v>
      </c>
      <c r="C608" s="35">
        <v>237.21970600808271</v>
      </c>
      <c r="D608" s="35">
        <v>233.01072225556544</v>
      </c>
      <c r="E608" s="35">
        <v>292.97510304900635</v>
      </c>
      <c r="F608" s="35">
        <v>237.94163858267564</v>
      </c>
      <c r="G608" s="35">
        <v>265.39478955314178</v>
      </c>
      <c r="H608" s="35">
        <v>262.84675057637247</v>
      </c>
      <c r="I608" s="35">
        <v>306.65919376764595</v>
      </c>
      <c r="J608" s="35">
        <v>313.78799722555078</v>
      </c>
      <c r="K608" s="35">
        <v>338.49098069277892</v>
      </c>
      <c r="L608" s="35">
        <v>396.13474298995396</v>
      </c>
    </row>
    <row r="609" spans="1:12">
      <c r="A609" s="35">
        <v>239.74655321376261</v>
      </c>
      <c r="B609" s="35">
        <v>272.41344150712303</v>
      </c>
      <c r="C609" s="35">
        <v>238.11079456881612</v>
      </c>
      <c r="D609" s="35">
        <v>247.91399449842859</v>
      </c>
      <c r="E609" s="35">
        <v>275.09400705916812</v>
      </c>
      <c r="F609" s="35">
        <v>236.09249509229875</v>
      </c>
      <c r="G609" s="35">
        <v>254.03654704903727</v>
      </c>
      <c r="H609" s="35">
        <v>273.93332226067446</v>
      </c>
      <c r="I609" s="35">
        <v>296.99739597623721</v>
      </c>
      <c r="J609" s="35">
        <v>318.14167915269536</v>
      </c>
      <c r="K609" s="35">
        <v>310.53099290622191</v>
      </c>
      <c r="L609" s="35">
        <v>366.31685498566128</v>
      </c>
    </row>
    <row r="610" spans="1:12">
      <c r="A610" s="35">
        <v>258.13114332268265</v>
      </c>
      <c r="B610" s="35">
        <v>266.88075124843448</v>
      </c>
      <c r="C610" s="35">
        <v>244.59781802863068</v>
      </c>
      <c r="D610" s="35">
        <v>242.58334271332222</v>
      </c>
      <c r="E610" s="35">
        <v>285.24883696788027</v>
      </c>
      <c r="F610" s="35">
        <v>251.09745550795279</v>
      </c>
      <c r="G610" s="35">
        <v>246.69596323931665</v>
      </c>
      <c r="H610" s="35">
        <v>262.6096061424476</v>
      </c>
      <c r="I610" s="35">
        <v>273.5930897116757</v>
      </c>
      <c r="J610" s="35">
        <v>280.9406181103592</v>
      </c>
      <c r="K610" s="35">
        <v>285.72395544788685</v>
      </c>
      <c r="L610" s="35">
        <v>332.74210738719484</v>
      </c>
    </row>
    <row r="611" spans="1:12">
      <c r="A611" s="35">
        <v>245.2906030527773</v>
      </c>
      <c r="B611" s="35">
        <v>270.76996240103665</v>
      </c>
      <c r="C611" s="35">
        <v>261.08724117143669</v>
      </c>
      <c r="D611" s="35">
        <v>259.34538157284402</v>
      </c>
      <c r="E611" s="35">
        <v>301.78862767722643</v>
      </c>
      <c r="F611" s="35">
        <v>271.32649182680751</v>
      </c>
      <c r="G611" s="35">
        <v>264.72748002966932</v>
      </c>
      <c r="H611" s="35">
        <v>286.99860308046885</v>
      </c>
      <c r="I611" s="35">
        <v>295.42315315170481</v>
      </c>
      <c r="J611" s="35">
        <v>335.892796772861</v>
      </c>
      <c r="K611" s="35">
        <v>337.07886329340118</v>
      </c>
      <c r="L611" s="35">
        <v>401.04225340584003</v>
      </c>
    </row>
    <row r="612" spans="1:12">
      <c r="A612" s="35">
        <v>247.64481598164977</v>
      </c>
      <c r="B612" s="35">
        <v>255.81569504202614</v>
      </c>
      <c r="C612" s="35">
        <v>253.75667063993691</v>
      </c>
      <c r="D612" s="35">
        <v>254.77956643074296</v>
      </c>
      <c r="E612" s="35">
        <v>300.6810543579407</v>
      </c>
      <c r="F612" s="35">
        <v>273.09321814112053</v>
      </c>
      <c r="G612" s="35">
        <v>285.54206120116578</v>
      </c>
      <c r="H612" s="35">
        <v>274.53910197377172</v>
      </c>
      <c r="I612" s="35">
        <v>303.57746497934426</v>
      </c>
      <c r="J612" s="35">
        <v>308.85220141840966</v>
      </c>
      <c r="K612" s="35">
        <v>333.47906598424845</v>
      </c>
      <c r="L612" s="35">
        <v>398.35768763587078</v>
      </c>
    </row>
    <row r="613" spans="1:12">
      <c r="A613" s="35">
        <v>244.96675541578404</v>
      </c>
      <c r="B613" s="35">
        <v>279.12964896310427</v>
      </c>
      <c r="C613" s="35">
        <v>215.2960525877898</v>
      </c>
      <c r="D613" s="35">
        <v>214.23311339256838</v>
      </c>
      <c r="E613" s="35">
        <v>243.5747853283618</v>
      </c>
      <c r="F613" s="35">
        <v>221.04047493360522</v>
      </c>
      <c r="G613" s="35">
        <v>230.40942246773534</v>
      </c>
      <c r="H613" s="35">
        <v>205.77109475453594</v>
      </c>
      <c r="I613" s="35">
        <v>245.31342917619207</v>
      </c>
      <c r="J613" s="35">
        <v>247.2483392968129</v>
      </c>
      <c r="K613" s="35">
        <v>263.92476659341838</v>
      </c>
      <c r="L613" s="35">
        <v>274.05820463532842</v>
      </c>
    </row>
    <row r="614" spans="1:12">
      <c r="A614" s="35">
        <v>260.63150142149061</v>
      </c>
      <c r="B614" s="35">
        <v>289.45279917518121</v>
      </c>
      <c r="C614" s="35">
        <v>257.64264571802073</v>
      </c>
      <c r="D614" s="35">
        <v>253.32153329915124</v>
      </c>
      <c r="E614" s="35">
        <v>307.77132102105264</v>
      </c>
      <c r="F614" s="35">
        <v>253.68726592219821</v>
      </c>
      <c r="G614" s="35">
        <v>275.04535379905707</v>
      </c>
      <c r="H614" s="35">
        <v>275.66904236058963</v>
      </c>
      <c r="I614" s="35">
        <v>312.03126616057455</v>
      </c>
      <c r="J614" s="35">
        <v>319.12347266452969</v>
      </c>
      <c r="K614" s="35">
        <v>329.13919674427302</v>
      </c>
      <c r="L614" s="35">
        <v>385.86843029618706</v>
      </c>
    </row>
    <row r="615" spans="1:12">
      <c r="A615" s="35">
        <v>221.57138558545918</v>
      </c>
      <c r="B615" s="35">
        <v>256.95534969107655</v>
      </c>
      <c r="C615" s="35">
        <v>226.19888732706389</v>
      </c>
      <c r="D615" s="35">
        <v>228.03563244623294</v>
      </c>
      <c r="E615" s="35">
        <v>251.65119200545686</v>
      </c>
      <c r="F615" s="35">
        <v>233.072158919477</v>
      </c>
      <c r="G615" s="35">
        <v>253.92520513312317</v>
      </c>
      <c r="H615" s="35">
        <v>260.02811641603324</v>
      </c>
      <c r="I615" s="35">
        <v>270.73109378091891</v>
      </c>
      <c r="J615" s="35">
        <v>285.18467923606886</v>
      </c>
      <c r="K615" s="35">
        <v>307.08329768420782</v>
      </c>
      <c r="L615" s="35">
        <v>345.24405284052739</v>
      </c>
    </row>
    <row r="616" spans="1:12">
      <c r="A616" s="35">
        <v>234.63446754441213</v>
      </c>
      <c r="B616" s="35">
        <v>258.13121131093322</v>
      </c>
      <c r="C616" s="35">
        <v>218.35465997258927</v>
      </c>
      <c r="D616" s="35">
        <v>223.78668149103186</v>
      </c>
      <c r="E616" s="35">
        <v>274.76083929977602</v>
      </c>
      <c r="F616" s="35">
        <v>233.780294188147</v>
      </c>
      <c r="G616" s="35">
        <v>237.16254288680972</v>
      </c>
      <c r="H616" s="35">
        <v>261.55120434639855</v>
      </c>
      <c r="I616" s="35">
        <v>244.22621027333722</v>
      </c>
      <c r="J616" s="35">
        <v>276.91655957290425</v>
      </c>
      <c r="K616" s="35">
        <v>280.28600316249117</v>
      </c>
      <c r="L616" s="35">
        <v>332.65629984367399</v>
      </c>
    </row>
    <row r="617" spans="1:12">
      <c r="A617" s="35">
        <v>259.46117779341165</v>
      </c>
      <c r="B617" s="35">
        <v>277.11901087019771</v>
      </c>
      <c r="C617" s="35">
        <v>234.15491228441047</v>
      </c>
      <c r="D617" s="35">
        <v>255.8288039465248</v>
      </c>
      <c r="E617" s="35">
        <v>296.11069166809233</v>
      </c>
      <c r="F617" s="35">
        <v>255.50093193203128</v>
      </c>
      <c r="G617" s="35">
        <v>261.33940664137072</v>
      </c>
      <c r="H617" s="35">
        <v>282.45686226766742</v>
      </c>
      <c r="I617" s="35">
        <v>291.19113045997489</v>
      </c>
      <c r="J617" s="35">
        <v>308.12130572239494</v>
      </c>
      <c r="K617" s="35">
        <v>311.92933525068787</v>
      </c>
      <c r="L617" s="35">
        <v>376.87070202253199</v>
      </c>
    </row>
    <row r="618" spans="1:12">
      <c r="A618" s="35">
        <v>258.39367318161158</v>
      </c>
      <c r="B618" s="35">
        <v>262.82429118791521</v>
      </c>
      <c r="C618" s="35">
        <v>247.1406837632905</v>
      </c>
      <c r="D618" s="35">
        <v>259.37088528218931</v>
      </c>
      <c r="E618" s="35">
        <v>297.38872402982139</v>
      </c>
      <c r="F618" s="35">
        <v>266.2909008020489</v>
      </c>
      <c r="G618" s="35">
        <v>262.82035233813122</v>
      </c>
      <c r="H618" s="35">
        <v>284.35016075323216</v>
      </c>
      <c r="I618" s="35">
        <v>317.70685518565972</v>
      </c>
      <c r="J618" s="35">
        <v>330.74225237590792</v>
      </c>
      <c r="K618" s="35">
        <v>347.81306357196792</v>
      </c>
      <c r="L618" s="35">
        <v>400.28353244537305</v>
      </c>
    </row>
    <row r="619" spans="1:12">
      <c r="A619" s="35">
        <v>252.02648037161961</v>
      </c>
      <c r="B619" s="35">
        <v>240.82043807862522</v>
      </c>
      <c r="C619" s="35">
        <v>237.67083441869951</v>
      </c>
      <c r="D619" s="35">
        <v>240.66710742973359</v>
      </c>
      <c r="E619" s="35">
        <v>285.12863267717097</v>
      </c>
      <c r="F619" s="35">
        <v>255.11283643349799</v>
      </c>
      <c r="G619" s="35">
        <v>252.962257499419</v>
      </c>
      <c r="H619" s="35">
        <v>258.61151846749158</v>
      </c>
      <c r="I619" s="35">
        <v>288.74988868967921</v>
      </c>
      <c r="J619" s="35">
        <v>315.26893803962832</v>
      </c>
      <c r="K619" s="35">
        <v>314.80350111221833</v>
      </c>
      <c r="L619" s="35">
        <v>368.05984969924833</v>
      </c>
    </row>
    <row r="620" spans="1:12">
      <c r="A620" s="35">
        <v>241.64149917578897</v>
      </c>
      <c r="B620" s="35">
        <v>271.78220887097336</v>
      </c>
      <c r="C620" s="35">
        <v>239.07779200614053</v>
      </c>
      <c r="D620" s="35">
        <v>252.20405043510371</v>
      </c>
      <c r="E620" s="35">
        <v>299.18099235384256</v>
      </c>
      <c r="F620" s="35">
        <v>256.90167641061709</v>
      </c>
      <c r="G620" s="35">
        <v>268.17368504531657</v>
      </c>
      <c r="H620" s="35">
        <v>288.7230281449194</v>
      </c>
      <c r="I620" s="35">
        <v>299.04303832918555</v>
      </c>
      <c r="J620" s="35">
        <v>327.9394961485948</v>
      </c>
      <c r="K620" s="35">
        <v>343.7001933411085</v>
      </c>
      <c r="L620" s="35">
        <v>398.17178615578888</v>
      </c>
    </row>
    <row r="621" spans="1:12">
      <c r="A621" s="35">
        <v>251.67003247698054</v>
      </c>
      <c r="B621" s="35">
        <v>262.98172846853845</v>
      </c>
      <c r="C621" s="35">
        <v>236.97773450410281</v>
      </c>
      <c r="D621" s="35">
        <v>216.2431636829765</v>
      </c>
      <c r="E621" s="35">
        <v>265.97120768521847</v>
      </c>
      <c r="F621" s="35">
        <v>238.31246006395804</v>
      </c>
      <c r="G621" s="35">
        <v>238.08258453235609</v>
      </c>
      <c r="H621" s="35">
        <v>225.50752342000558</v>
      </c>
      <c r="I621" s="35">
        <v>255.03702922614826</v>
      </c>
      <c r="J621" s="35">
        <v>270.95443056177913</v>
      </c>
      <c r="K621" s="35">
        <v>261.28501053712216</v>
      </c>
      <c r="L621" s="35">
        <v>318.68259528091932</v>
      </c>
    </row>
    <row r="622" spans="1:12">
      <c r="A622" s="35">
        <v>256.18881970722498</v>
      </c>
      <c r="B622" s="35">
        <v>279.61654517491155</v>
      </c>
      <c r="C622" s="35">
        <v>265.76178255001889</v>
      </c>
      <c r="D622" s="35">
        <v>267.62956793701255</v>
      </c>
      <c r="E622" s="35">
        <v>314.09289828007655</v>
      </c>
      <c r="F622" s="35">
        <v>277.49383570327859</v>
      </c>
      <c r="G622" s="35">
        <v>281.61386404620328</v>
      </c>
      <c r="H622" s="35">
        <v>302.47559196575219</v>
      </c>
      <c r="I622" s="35">
        <v>313.52492989331915</v>
      </c>
      <c r="J622" s="35">
        <v>368.57842042734893</v>
      </c>
      <c r="K622" s="35">
        <v>385.72917536410711</v>
      </c>
      <c r="L622" s="35">
        <v>440.36149748631283</v>
      </c>
    </row>
    <row r="623" spans="1:12">
      <c r="A623" s="35">
        <v>248.43174241565055</v>
      </c>
      <c r="B623" s="35">
        <v>266.92598848813265</v>
      </c>
      <c r="C623" s="35">
        <v>230.01579737983809</v>
      </c>
      <c r="D623" s="35">
        <v>252.17995321972359</v>
      </c>
      <c r="E623" s="35">
        <v>304.12454244743634</v>
      </c>
      <c r="F623" s="35">
        <v>256.62894255033893</v>
      </c>
      <c r="G623" s="35">
        <v>270.57805250064882</v>
      </c>
      <c r="H623" s="35">
        <v>294.36327646188028</v>
      </c>
      <c r="I623" s="35">
        <v>309.66677048879859</v>
      </c>
      <c r="J623" s="35">
        <v>318.93580319239106</v>
      </c>
      <c r="K623" s="35">
        <v>351.40433175736297</v>
      </c>
      <c r="L623" s="35">
        <v>396.3275106476645</v>
      </c>
    </row>
    <row r="624" spans="1:12">
      <c r="A624" s="35">
        <v>246.90120938153868</v>
      </c>
      <c r="B624" s="35">
        <v>236.87671299128868</v>
      </c>
      <c r="C624" s="35">
        <v>244.77362601639979</v>
      </c>
      <c r="D624" s="35">
        <v>250.06730216456361</v>
      </c>
      <c r="E624" s="35">
        <v>275.99835539665082</v>
      </c>
      <c r="F624" s="35">
        <v>255.06755784406147</v>
      </c>
      <c r="G624" s="35">
        <v>262.32350459608904</v>
      </c>
      <c r="H624" s="35">
        <v>268.29850091669419</v>
      </c>
      <c r="I624" s="35">
        <v>307.97853605545595</v>
      </c>
      <c r="J624" s="35">
        <v>317.4654650485333</v>
      </c>
      <c r="K624" s="35">
        <v>305.26516832885704</v>
      </c>
      <c r="L624" s="35">
        <v>396.50837532562701</v>
      </c>
    </row>
    <row r="625" spans="1:12">
      <c r="A625" s="35">
        <v>244.37020036575663</v>
      </c>
      <c r="B625" s="35">
        <v>258.53464839129657</v>
      </c>
      <c r="C625" s="35">
        <v>238.06883045206152</v>
      </c>
      <c r="D625" s="35">
        <v>230.92619009838319</v>
      </c>
      <c r="E625" s="35">
        <v>278.24962977958489</v>
      </c>
      <c r="F625" s="35">
        <v>245.14998883626154</v>
      </c>
      <c r="G625" s="35">
        <v>248.3516024513782</v>
      </c>
      <c r="H625" s="35">
        <v>247.91070379542464</v>
      </c>
      <c r="I625" s="35">
        <v>271.43354872932218</v>
      </c>
      <c r="J625" s="35">
        <v>271.5923688361521</v>
      </c>
      <c r="K625" s="35">
        <v>297.16559787707905</v>
      </c>
      <c r="L625" s="35">
        <v>338.63302857428107</v>
      </c>
    </row>
    <row r="626" spans="1:12">
      <c r="A626" s="35">
        <v>230.41374100525681</v>
      </c>
      <c r="B626" s="35">
        <v>238.82842181597115</v>
      </c>
      <c r="C626" s="35">
        <v>238.08048260312196</v>
      </c>
      <c r="D626" s="35">
        <v>230.05697914554162</v>
      </c>
      <c r="E626" s="35">
        <v>263.10066759631525</v>
      </c>
      <c r="F626" s="35">
        <v>237.82334460484307</v>
      </c>
      <c r="G626" s="35">
        <v>219.79473734585449</v>
      </c>
      <c r="H626" s="35">
        <v>240.25929994927407</v>
      </c>
      <c r="I626" s="35">
        <v>245.82109266873667</v>
      </c>
      <c r="J626" s="35">
        <v>245.10604502178066</v>
      </c>
      <c r="K626" s="35">
        <v>257.3683873609026</v>
      </c>
      <c r="L626" s="35">
        <v>297.1355677382785</v>
      </c>
    </row>
    <row r="627" spans="1:12">
      <c r="A627" s="35">
        <v>242.9209038323543</v>
      </c>
      <c r="B627" s="35">
        <v>277.30870443377421</v>
      </c>
      <c r="C627" s="35">
        <v>228.42139828438661</v>
      </c>
      <c r="D627" s="35">
        <v>241.12544617465136</v>
      </c>
      <c r="E627" s="35">
        <v>297.54535342250716</v>
      </c>
      <c r="F627" s="35">
        <v>229.8061720763848</v>
      </c>
      <c r="G627" s="35">
        <v>265.15919237917035</v>
      </c>
      <c r="H627" s="35">
        <v>279.80445988620232</v>
      </c>
      <c r="I627" s="35">
        <v>297.62698597720617</v>
      </c>
      <c r="J627" s="35">
        <v>312.45317914751234</v>
      </c>
      <c r="K627" s="35">
        <v>335.6833107065745</v>
      </c>
      <c r="L627" s="35">
        <v>393.01636682258754</v>
      </c>
    </row>
    <row r="628" spans="1:12">
      <c r="A628" s="35">
        <v>254.39801917570168</v>
      </c>
      <c r="B628" s="35">
        <v>262.6685482761049</v>
      </c>
      <c r="C628" s="35">
        <v>242.27896764129835</v>
      </c>
      <c r="D628" s="35">
        <v>257.381878385915</v>
      </c>
      <c r="E628" s="35">
        <v>277.2108941771607</v>
      </c>
      <c r="F628" s="35">
        <v>266.17924295397103</v>
      </c>
      <c r="G628" s="35">
        <v>268.15271341776696</v>
      </c>
      <c r="H628" s="35">
        <v>264.13347847021589</v>
      </c>
      <c r="I628" s="35">
        <v>304.26645925270515</v>
      </c>
      <c r="J628" s="35">
        <v>321.02202095920978</v>
      </c>
      <c r="K628" s="35">
        <v>334.67628540745159</v>
      </c>
      <c r="L628" s="35">
        <v>401.20235493494368</v>
      </c>
    </row>
    <row r="629" spans="1:12">
      <c r="A629" s="35">
        <v>236.52594709990615</v>
      </c>
      <c r="B629" s="35">
        <v>264.59165941064168</v>
      </c>
      <c r="C629" s="35">
        <v>237.3984593226503</v>
      </c>
      <c r="D629" s="35">
        <v>232.50973687656378</v>
      </c>
      <c r="E629" s="35">
        <v>282.02471120862532</v>
      </c>
      <c r="F629" s="35">
        <v>226.8123693899299</v>
      </c>
      <c r="G629" s="35">
        <v>265.45958454956741</v>
      </c>
      <c r="H629" s="35">
        <v>269.64662160404725</v>
      </c>
      <c r="I629" s="35">
        <v>278.34730633964784</v>
      </c>
      <c r="J629" s="35">
        <v>306.47205417959333</v>
      </c>
      <c r="K629" s="35">
        <v>315.72611967671963</v>
      </c>
      <c r="L629" s="35">
        <v>374.69823444490862</v>
      </c>
    </row>
    <row r="630" spans="1:12">
      <c r="A630" s="35">
        <v>256.21859701841578</v>
      </c>
      <c r="B630" s="35">
        <v>242.26640723314938</v>
      </c>
      <c r="C630" s="35">
        <v>229.10119943167371</v>
      </c>
      <c r="D630" s="35">
        <v>223.8804483515186</v>
      </c>
      <c r="E630" s="35">
        <v>250.45607841490738</v>
      </c>
      <c r="F630" s="35">
        <v>252.11913145856428</v>
      </c>
      <c r="G630" s="35">
        <v>256.19623091370471</v>
      </c>
      <c r="H630" s="35">
        <v>247.21825797749315</v>
      </c>
      <c r="I630" s="35">
        <v>272.18071216710331</v>
      </c>
      <c r="J630" s="35">
        <v>288.90864931457997</v>
      </c>
      <c r="K630" s="35">
        <v>311.63172623588525</v>
      </c>
      <c r="L630" s="35">
        <v>332.97213887174007</v>
      </c>
    </row>
    <row r="631" spans="1:12">
      <c r="A631" s="35">
        <v>239.7740873007138</v>
      </c>
      <c r="B631" s="35">
        <v>242.07498577543751</v>
      </c>
      <c r="C631" s="35">
        <v>242.4306717360206</v>
      </c>
      <c r="D631" s="35">
        <v>224.69271359200164</v>
      </c>
      <c r="E631" s="35">
        <v>273.75687149072496</v>
      </c>
      <c r="F631" s="35">
        <v>229.53555377480575</v>
      </c>
      <c r="G631" s="35">
        <v>237.50686546672969</v>
      </c>
      <c r="H631" s="35">
        <v>252.45079717746469</v>
      </c>
      <c r="I631" s="35">
        <v>275.59346944092306</v>
      </c>
      <c r="J631" s="35">
        <v>277.58161937197667</v>
      </c>
      <c r="K631" s="35">
        <v>289.3164987643267</v>
      </c>
      <c r="L631" s="35">
        <v>334.27417035486104</v>
      </c>
    </row>
    <row r="632" spans="1:12">
      <c r="A632" s="35">
        <v>253.53941431076476</v>
      </c>
      <c r="B632" s="35">
        <v>264.33167004271615</v>
      </c>
      <c r="C632" s="35">
        <v>243.72103479019015</v>
      </c>
      <c r="D632" s="35">
        <v>244.39059912335964</v>
      </c>
      <c r="E632" s="35">
        <v>315.93504572868687</v>
      </c>
      <c r="F632" s="35">
        <v>250.9790786762735</v>
      </c>
      <c r="G632" s="35">
        <v>275.95881906832744</v>
      </c>
      <c r="H632" s="35">
        <v>276.36145489965838</v>
      </c>
      <c r="I632" s="35">
        <v>305.52097675373358</v>
      </c>
      <c r="J632" s="35">
        <v>320.03678398655831</v>
      </c>
      <c r="K632" s="35">
        <v>341.62765838411241</v>
      </c>
      <c r="L632" s="35">
        <v>414.27928436811357</v>
      </c>
    </row>
    <row r="633" spans="1:12">
      <c r="A633" s="35">
        <v>248.31318040441954</v>
      </c>
      <c r="B633" s="35">
        <v>255.97739354290056</v>
      </c>
      <c r="C633" s="35">
        <v>225.80364008544228</v>
      </c>
      <c r="D633" s="35">
        <v>221.70929933564818</v>
      </c>
      <c r="E633" s="35">
        <v>253.44763153855627</v>
      </c>
      <c r="F633" s="35">
        <v>227.35323682846246</v>
      </c>
      <c r="G633" s="35">
        <v>249.1749071570479</v>
      </c>
      <c r="H633" s="35">
        <v>250.8716743169928</v>
      </c>
      <c r="I633" s="35">
        <v>272.13789031052488</v>
      </c>
      <c r="J633" s="35">
        <v>282.63712860800746</v>
      </c>
      <c r="K633" s="35">
        <v>288.84072390465332</v>
      </c>
      <c r="L633" s="35">
        <v>359.59836949833431</v>
      </c>
    </row>
    <row r="634" spans="1:12">
      <c r="A634" s="35">
        <v>251.38142696584353</v>
      </c>
      <c r="B634" s="35">
        <v>275.66941789680698</v>
      </c>
      <c r="C634" s="35">
        <v>262.68884476585004</v>
      </c>
      <c r="D634" s="35">
        <v>241.94206068612107</v>
      </c>
      <c r="E634" s="35">
        <v>281.47619938276921</v>
      </c>
      <c r="F634" s="35">
        <v>248.97945308541867</v>
      </c>
      <c r="G634" s="35">
        <v>268.77573486877577</v>
      </c>
      <c r="H634" s="35">
        <v>269.79812094118989</v>
      </c>
      <c r="I634" s="35">
        <v>298.97083838003937</v>
      </c>
      <c r="J634" s="35">
        <v>304.09046686402138</v>
      </c>
      <c r="K634" s="35">
        <v>322.41350835914591</v>
      </c>
      <c r="L634" s="35">
        <v>380.66507116018568</v>
      </c>
    </row>
    <row r="635" spans="1:12">
      <c r="A635" s="35">
        <v>214.67225324958207</v>
      </c>
      <c r="B635" s="35">
        <v>228.93787507213867</v>
      </c>
      <c r="C635" s="35">
        <v>215.10163363114719</v>
      </c>
      <c r="D635" s="35">
        <v>220.65883910181475</v>
      </c>
      <c r="E635" s="35">
        <v>251.0412528583247</v>
      </c>
      <c r="F635" s="35">
        <v>228.4780452764563</v>
      </c>
      <c r="G635" s="35">
        <v>243.87036131457438</v>
      </c>
      <c r="H635" s="35">
        <v>218.55535868586026</v>
      </c>
      <c r="I635" s="35">
        <v>253.55490748016442</v>
      </c>
      <c r="J635" s="35">
        <v>269.7487171647158</v>
      </c>
      <c r="K635" s="35">
        <v>276.63047912931694</v>
      </c>
      <c r="L635" s="35">
        <v>325.98840132007774</v>
      </c>
    </row>
    <row r="636" spans="1:12">
      <c r="A636" s="35">
        <v>265.91125451227947</v>
      </c>
      <c r="B636" s="35">
        <v>261.10985013070348</v>
      </c>
      <c r="C636" s="35">
        <v>256.47875096415618</v>
      </c>
      <c r="D636" s="35">
        <v>246.78902379976466</v>
      </c>
      <c r="E636" s="35">
        <v>281.60830160443209</v>
      </c>
      <c r="F636" s="35">
        <v>254.74772654996605</v>
      </c>
      <c r="G636" s="35">
        <v>249.85044633958827</v>
      </c>
      <c r="H636" s="35">
        <v>251.74523475308547</v>
      </c>
      <c r="I636" s="35">
        <v>282.98093697620703</v>
      </c>
      <c r="J636" s="35">
        <v>302.17663049140759</v>
      </c>
      <c r="K636" s="35">
        <v>316.81967062554315</v>
      </c>
      <c r="L636" s="35">
        <v>351.70971878816482</v>
      </c>
    </row>
    <row r="637" spans="1:12">
      <c r="A637" s="35">
        <v>246.21211280134148</v>
      </c>
      <c r="B637" s="35">
        <v>275.94187919559249</v>
      </c>
      <c r="C637" s="35">
        <v>274.25356883735503</v>
      </c>
      <c r="D637" s="35">
        <v>260.85240850717167</v>
      </c>
      <c r="E637" s="35">
        <v>313.61513799673435</v>
      </c>
      <c r="F637" s="35">
        <v>274.06493125182914</v>
      </c>
      <c r="G637" s="35">
        <v>296.0120295055645</v>
      </c>
      <c r="H637" s="35">
        <v>289.02943167131247</v>
      </c>
      <c r="I637" s="35">
        <v>319.90290214953018</v>
      </c>
      <c r="J637" s="35">
        <v>336.76655931942338</v>
      </c>
      <c r="K637" s="35">
        <v>372.92637139067386</v>
      </c>
      <c r="L637" s="35">
        <v>440.92315233551267</v>
      </c>
    </row>
    <row r="638" spans="1:12">
      <c r="A638" s="35">
        <v>230.18205475775662</v>
      </c>
      <c r="B638" s="35">
        <v>256.41471163017673</v>
      </c>
      <c r="C638" s="35">
        <v>236.05306064538189</v>
      </c>
      <c r="D638" s="35">
        <v>238.41509601534742</v>
      </c>
      <c r="E638" s="35">
        <v>271.16764681151147</v>
      </c>
      <c r="F638" s="35">
        <v>253.79860228078968</v>
      </c>
      <c r="G638" s="35">
        <v>252.61282916543996</v>
      </c>
      <c r="H638" s="35">
        <v>266.03298107754563</v>
      </c>
      <c r="I638" s="35">
        <v>270.46381213287816</v>
      </c>
      <c r="J638" s="35">
        <v>280.58928579250085</v>
      </c>
      <c r="K638" s="35">
        <v>297.73629936811977</v>
      </c>
      <c r="L638" s="35">
        <v>360.60979470890862</v>
      </c>
    </row>
    <row r="639" spans="1:12">
      <c r="A639" s="35">
        <v>250.09543250609187</v>
      </c>
      <c r="B639" s="35">
        <v>265.84647869867894</v>
      </c>
      <c r="C639" s="35">
        <v>243.62224513790801</v>
      </c>
      <c r="D639" s="35">
        <v>236.59577455766234</v>
      </c>
      <c r="E639" s="35">
        <v>263.78285646867647</v>
      </c>
      <c r="F639" s="35">
        <v>235.51564868243804</v>
      </c>
      <c r="G639" s="35">
        <v>262.00154688037838</v>
      </c>
      <c r="H639" s="35">
        <v>257.48196735241146</v>
      </c>
      <c r="I639" s="35">
        <v>291.10479731664998</v>
      </c>
      <c r="J639" s="35">
        <v>304.54838094481124</v>
      </c>
      <c r="K639" s="35">
        <v>313.60715964791962</v>
      </c>
      <c r="L639" s="35">
        <v>367.59765908491289</v>
      </c>
    </row>
    <row r="640" spans="1:12">
      <c r="A640" s="35">
        <v>261.33959460273252</v>
      </c>
      <c r="B640" s="35">
        <v>284.66348378004398</v>
      </c>
      <c r="C640" s="35">
        <v>265.34147716624432</v>
      </c>
      <c r="D640" s="35">
        <v>257.91098294427621</v>
      </c>
      <c r="E640" s="35">
        <v>303.96733592626504</v>
      </c>
      <c r="F640" s="35">
        <v>286.63626789677079</v>
      </c>
      <c r="G640" s="35">
        <v>295.06823795903597</v>
      </c>
      <c r="H640" s="35">
        <v>326.56149085720756</v>
      </c>
      <c r="I640" s="35">
        <v>331.84848638833358</v>
      </c>
      <c r="J640" s="35">
        <v>351.98604604200318</v>
      </c>
      <c r="K640" s="35">
        <v>374.3327012828251</v>
      </c>
      <c r="L640" s="35">
        <v>434.2236506285476</v>
      </c>
    </row>
    <row r="641" spans="1:12">
      <c r="A641" s="35">
        <v>238.24788401527263</v>
      </c>
      <c r="B641" s="35">
        <v>272.82890115189406</v>
      </c>
      <c r="C641" s="35">
        <v>234.33280298945576</v>
      </c>
      <c r="D641" s="35">
        <v>256.46434272718608</v>
      </c>
      <c r="E641" s="35">
        <v>282.96968175524336</v>
      </c>
      <c r="F641" s="35">
        <v>238.95671369478345</v>
      </c>
      <c r="G641" s="35">
        <v>252.09758355934486</v>
      </c>
      <c r="H641" s="35">
        <v>250.60956957065616</v>
      </c>
      <c r="I641" s="35">
        <v>286.69866126595275</v>
      </c>
      <c r="J641" s="35">
        <v>276.67053373227958</v>
      </c>
      <c r="K641" s="35">
        <v>298.51600562700332</v>
      </c>
      <c r="L641" s="35">
        <v>348.6273981520265</v>
      </c>
    </row>
    <row r="642" spans="1:12">
      <c r="A642" s="35">
        <v>242.32486287574278</v>
      </c>
      <c r="B642" s="35">
        <v>251.81607823677675</v>
      </c>
      <c r="C642" s="35">
        <v>246.00866562745301</v>
      </c>
      <c r="D642" s="35">
        <v>241.9323082807922</v>
      </c>
      <c r="E642" s="35">
        <v>274.36001183319547</v>
      </c>
      <c r="F642" s="35">
        <v>245.44330916079139</v>
      </c>
      <c r="G642" s="35">
        <v>256.63813140198067</v>
      </c>
      <c r="H642" s="35">
        <v>267.43958151237553</v>
      </c>
      <c r="I642" s="35">
        <v>294.13745309515099</v>
      </c>
      <c r="J642" s="35">
        <v>306.81420793758815</v>
      </c>
      <c r="K642" s="35">
        <v>323.32305487981773</v>
      </c>
      <c r="L642" s="35">
        <v>385.86992639644865</v>
      </c>
    </row>
    <row r="643" spans="1:12">
      <c r="A643" s="35">
        <v>245.89261036642191</v>
      </c>
      <c r="B643" s="35">
        <v>252.70551533473287</v>
      </c>
      <c r="C643" s="35">
        <v>228.60673076858083</v>
      </c>
      <c r="D643" s="35">
        <v>242.77643876273928</v>
      </c>
      <c r="E643" s="35">
        <v>278.19617953037903</v>
      </c>
      <c r="F643" s="35">
        <v>241.14244928659247</v>
      </c>
      <c r="G643" s="35">
        <v>262.226322493255</v>
      </c>
      <c r="H643" s="35">
        <v>262.25637382405131</v>
      </c>
      <c r="I643" s="35">
        <v>270.58185279580448</v>
      </c>
      <c r="J643" s="35">
        <v>298.29698928581684</v>
      </c>
      <c r="K643" s="35">
        <v>330.72500696789052</v>
      </c>
      <c r="L643" s="35">
        <v>378.6891585260633</v>
      </c>
    </row>
    <row r="644" spans="1:12">
      <c r="A644" s="35">
        <v>257.4822779952089</v>
      </c>
      <c r="B644" s="35">
        <v>265.1027940878738</v>
      </c>
      <c r="C644" s="35">
        <v>233.05954062316408</v>
      </c>
      <c r="D644" s="35">
        <v>245.56200484159493</v>
      </c>
      <c r="E644" s="35">
        <v>286.24174587530558</v>
      </c>
      <c r="F644" s="35">
        <v>251.42751070054089</v>
      </c>
      <c r="G644" s="35">
        <v>269.0122832237476</v>
      </c>
      <c r="H644" s="35">
        <v>278.6911166189268</v>
      </c>
      <c r="I644" s="35">
        <v>300.89060289460821</v>
      </c>
      <c r="J644" s="35">
        <v>301.96259009998732</v>
      </c>
      <c r="K644" s="35">
        <v>336.7069241945465</v>
      </c>
      <c r="L644" s="35">
        <v>371.71537937307033</v>
      </c>
    </row>
    <row r="645" spans="1:12">
      <c r="A645" s="35">
        <v>273.36375766357526</v>
      </c>
      <c r="B645" s="35">
        <v>267.85880148384899</v>
      </c>
      <c r="C645" s="35">
        <v>268.55366857727233</v>
      </c>
      <c r="D645" s="35">
        <v>243.84775403832543</v>
      </c>
      <c r="E645" s="35">
        <v>309.0766896778149</v>
      </c>
      <c r="F645" s="35">
        <v>278.95736021958118</v>
      </c>
      <c r="G645" s="35">
        <v>276.89175327220005</v>
      </c>
      <c r="H645" s="35">
        <v>287.95515070702578</v>
      </c>
      <c r="I645" s="35">
        <v>319.28580989648691</v>
      </c>
      <c r="J645" s="35">
        <v>315.70952488666802</v>
      </c>
      <c r="K645" s="35">
        <v>353.60353674487777</v>
      </c>
      <c r="L645" s="35">
        <v>424.35972729430733</v>
      </c>
    </row>
    <row r="646" spans="1:12">
      <c r="A646" s="35">
        <v>230.0370230090621</v>
      </c>
      <c r="B646" s="35">
        <v>271.71076241610649</v>
      </c>
      <c r="C646" s="35">
        <v>243.11200696411441</v>
      </c>
      <c r="D646" s="35">
        <v>238.13842263147259</v>
      </c>
      <c r="E646" s="35">
        <v>264.23179024823742</v>
      </c>
      <c r="F646" s="35">
        <v>233.75684522002405</v>
      </c>
      <c r="G646" s="35">
        <v>232.8331505031118</v>
      </c>
      <c r="H646" s="35">
        <v>243.03121770732409</v>
      </c>
      <c r="I646" s="35">
        <v>256.10200070682129</v>
      </c>
      <c r="J646" s="35">
        <v>273.92616418903953</v>
      </c>
      <c r="K646" s="35">
        <v>279.31003074633458</v>
      </c>
      <c r="L646" s="35">
        <v>333.19158598171856</v>
      </c>
    </row>
    <row r="647" spans="1:12">
      <c r="A647" s="35">
        <v>246.41879249365311</v>
      </c>
      <c r="B647" s="35">
        <v>260.4056930783957</v>
      </c>
      <c r="C647" s="35">
        <v>243.09661754008931</v>
      </c>
      <c r="D647" s="35">
        <v>251.16820648188497</v>
      </c>
      <c r="E647" s="35">
        <v>289.12448757745136</v>
      </c>
      <c r="F647" s="35">
        <v>263.75744467074952</v>
      </c>
      <c r="G647" s="35">
        <v>252.00119449616284</v>
      </c>
      <c r="H647" s="35">
        <v>260.10531837125137</v>
      </c>
      <c r="I647" s="35">
        <v>290.96363667281366</v>
      </c>
      <c r="J647" s="35">
        <v>312.47534844008351</v>
      </c>
      <c r="K647" s="35">
        <v>310.29896436304568</v>
      </c>
      <c r="L647" s="35">
        <v>372.78250624456825</v>
      </c>
    </row>
    <row r="648" spans="1:12">
      <c r="A648" s="35">
        <v>268.04433300482765</v>
      </c>
      <c r="B648" s="35">
        <v>276.88255594680322</v>
      </c>
      <c r="C648" s="35">
        <v>237.49993646369236</v>
      </c>
      <c r="D648" s="35">
        <v>234.72728240210259</v>
      </c>
      <c r="E648" s="35">
        <v>288.60415820779718</v>
      </c>
      <c r="F648" s="35">
        <v>252.67594340660108</v>
      </c>
      <c r="G648" s="35">
        <v>245.57077713452813</v>
      </c>
      <c r="H648" s="35">
        <v>268.71729362799135</v>
      </c>
      <c r="I648" s="35">
        <v>289.60677402474198</v>
      </c>
      <c r="J648" s="35">
        <v>298.84461379828929</v>
      </c>
      <c r="K648" s="35">
        <v>310.21410381809062</v>
      </c>
      <c r="L648" s="35">
        <v>366.59062321708734</v>
      </c>
    </row>
    <row r="649" spans="1:12">
      <c r="A649" s="35">
        <v>229.97704586405095</v>
      </c>
      <c r="B649" s="35">
        <v>247.84886661548487</v>
      </c>
      <c r="C649" s="35">
        <v>229.40259137323969</v>
      </c>
      <c r="D649" s="35">
        <v>221.34788462888241</v>
      </c>
      <c r="E649" s="35">
        <v>272.58189905326014</v>
      </c>
      <c r="F649" s="35">
        <v>233.21443304278915</v>
      </c>
      <c r="G649" s="35">
        <v>245.81037546251216</v>
      </c>
      <c r="H649" s="35">
        <v>263.38186142337878</v>
      </c>
      <c r="I649" s="35">
        <v>276.64881361584503</v>
      </c>
      <c r="J649" s="35">
        <v>292.50481946347765</v>
      </c>
      <c r="K649" s="35">
        <v>311.31617984757298</v>
      </c>
      <c r="L649" s="35">
        <v>383.19595100753025</v>
      </c>
    </row>
    <row r="650" spans="1:12">
      <c r="A650" s="35">
        <v>235.5149645560864</v>
      </c>
      <c r="B650" s="35">
        <v>266.99588483990107</v>
      </c>
      <c r="C650" s="35">
        <v>218.62764170197033</v>
      </c>
      <c r="D650" s="35">
        <v>253.2797979531</v>
      </c>
      <c r="E650" s="35">
        <v>279.01433174469992</v>
      </c>
      <c r="F650" s="35">
        <v>263.93418622707463</v>
      </c>
      <c r="G650" s="35">
        <v>259.51229774815488</v>
      </c>
      <c r="H650" s="35">
        <v>266.14036396333086</v>
      </c>
      <c r="I650" s="35">
        <v>306.79769465462084</v>
      </c>
      <c r="J650" s="35">
        <v>321.60234314811942</v>
      </c>
      <c r="K650" s="35">
        <v>308.25954857040927</v>
      </c>
      <c r="L650" s="35">
        <v>376.10774925400648</v>
      </c>
    </row>
    <row r="651" spans="1:12">
      <c r="A651" s="35">
        <v>262.45320831678941</v>
      </c>
      <c r="B651" s="35">
        <v>276.49766018988419</v>
      </c>
      <c r="C651" s="35">
        <v>250.84009419668209</v>
      </c>
      <c r="D651" s="35">
        <v>245.300942025003</v>
      </c>
      <c r="E651" s="35">
        <v>302.72776368932227</v>
      </c>
      <c r="F651" s="35">
        <v>264.62723577359367</v>
      </c>
      <c r="G651" s="35">
        <v>276.62275197072501</v>
      </c>
      <c r="H651" s="35">
        <v>277.78635514748453</v>
      </c>
      <c r="I651" s="35">
        <v>317.60771229757808</v>
      </c>
      <c r="J651" s="35">
        <v>348.93559153689182</v>
      </c>
      <c r="K651" s="35">
        <v>373.67756053797052</v>
      </c>
      <c r="L651" s="35">
        <v>435.63970618861759</v>
      </c>
    </row>
    <row r="652" spans="1:12">
      <c r="A652" s="35">
        <v>250.43225990071065</v>
      </c>
      <c r="B652" s="35">
        <v>282.71360218911678</v>
      </c>
      <c r="C652" s="35">
        <v>253.05781507369667</v>
      </c>
      <c r="D652" s="35">
        <v>241.44440362635385</v>
      </c>
      <c r="E652" s="35">
        <v>282.53639521116634</v>
      </c>
      <c r="F652" s="35">
        <v>246.14891755674714</v>
      </c>
      <c r="G652" s="35">
        <v>261.94917688255236</v>
      </c>
      <c r="H652" s="35">
        <v>266.24932193305892</v>
      </c>
      <c r="I652" s="35">
        <v>291.96978330601326</v>
      </c>
      <c r="J652" s="35">
        <v>300.77811467713923</v>
      </c>
      <c r="K652" s="35">
        <v>307.9204262270602</v>
      </c>
      <c r="L652" s="35">
        <v>361.34739512746347</v>
      </c>
    </row>
    <row r="653" spans="1:12">
      <c r="A653" s="35">
        <v>232.95442849737262</v>
      </c>
      <c r="B653" s="35">
        <v>252.97575555897632</v>
      </c>
      <c r="C653" s="35">
        <v>229.5611181489511</v>
      </c>
      <c r="D653" s="35">
        <v>240.18150396029247</v>
      </c>
      <c r="E653" s="35">
        <v>255.10645853262389</v>
      </c>
      <c r="F653" s="35">
        <v>227.96440242861058</v>
      </c>
      <c r="G653" s="35">
        <v>245.09086787142138</v>
      </c>
      <c r="H653" s="35">
        <v>232.46260056992259</v>
      </c>
      <c r="I653" s="35">
        <v>267.87664138657607</v>
      </c>
      <c r="J653" s="35">
        <v>274.67828080786404</v>
      </c>
      <c r="K653" s="35">
        <v>280.67100139464657</v>
      </c>
      <c r="L653" s="35">
        <v>314.4272167864994</v>
      </c>
    </row>
    <row r="654" spans="1:12">
      <c r="A654" s="35">
        <v>244.10180270460228</v>
      </c>
      <c r="B654" s="35">
        <v>272.23076826306794</v>
      </c>
      <c r="C654" s="35">
        <v>235.86801199155784</v>
      </c>
      <c r="D654" s="35">
        <v>236.04532339634414</v>
      </c>
      <c r="E654" s="35">
        <v>276.08964402841019</v>
      </c>
      <c r="F654" s="35">
        <v>244.15859219592451</v>
      </c>
      <c r="G654" s="35">
        <v>240.80672361505401</v>
      </c>
      <c r="H654" s="35">
        <v>242.22478738446949</v>
      </c>
      <c r="I654" s="35">
        <v>273.74356254780974</v>
      </c>
      <c r="J654" s="35">
        <v>277.11437144872366</v>
      </c>
      <c r="K654" s="35">
        <v>298.44737795361448</v>
      </c>
      <c r="L654" s="35">
        <v>341.95581868833199</v>
      </c>
    </row>
    <row r="655" spans="1:12">
      <c r="A655" s="35">
        <v>256.4390152400552</v>
      </c>
      <c r="B655" s="35">
        <v>265.51867870167757</v>
      </c>
      <c r="C655" s="35">
        <v>267.65317849633681</v>
      </c>
      <c r="D655" s="35">
        <v>251.00069340786305</v>
      </c>
      <c r="E655" s="35">
        <v>296.05185093663414</v>
      </c>
      <c r="F655" s="35">
        <v>250.51951270462268</v>
      </c>
      <c r="G655" s="35">
        <v>275.57629441124556</v>
      </c>
      <c r="H655" s="35">
        <v>266.90928587746345</v>
      </c>
      <c r="I655" s="35">
        <v>292.5433695771444</v>
      </c>
      <c r="J655" s="35">
        <v>305.61196925200215</v>
      </c>
      <c r="K655" s="35">
        <v>314.94431727373745</v>
      </c>
      <c r="L655" s="35">
        <v>373.21791692917998</v>
      </c>
    </row>
    <row r="656" spans="1:12">
      <c r="A656" s="35">
        <v>243.31025106765028</v>
      </c>
      <c r="B656" s="35">
        <v>247.89886204269476</v>
      </c>
      <c r="C656" s="35">
        <v>220.33836922588284</v>
      </c>
      <c r="D656" s="35">
        <v>235.67433839322999</v>
      </c>
      <c r="E656" s="35">
        <v>262.63952483097432</v>
      </c>
      <c r="F656" s="35">
        <v>233.55274689860724</v>
      </c>
      <c r="G656" s="35">
        <v>240.40434780784207</v>
      </c>
      <c r="H656" s="35">
        <v>235.98124982530851</v>
      </c>
      <c r="I656" s="35">
        <v>273.96994783253427</v>
      </c>
      <c r="J656" s="35">
        <v>284.63905557733841</v>
      </c>
      <c r="K656" s="35">
        <v>298.30060348482965</v>
      </c>
      <c r="L656" s="35">
        <v>354.2698354766498</v>
      </c>
    </row>
    <row r="657" spans="1:12">
      <c r="A657" s="35">
        <v>259.73824270573846</v>
      </c>
      <c r="B657" s="35">
        <v>254.70785371654134</v>
      </c>
      <c r="C657" s="35">
        <v>252.52399846864535</v>
      </c>
      <c r="D657" s="35">
        <v>241.72907535348551</v>
      </c>
      <c r="E657" s="35">
        <v>289.37630688265824</v>
      </c>
      <c r="F657" s="35">
        <v>256.46070026965538</v>
      </c>
      <c r="G657" s="35">
        <v>257.59530488235379</v>
      </c>
      <c r="H657" s="35">
        <v>251.77498625434285</v>
      </c>
      <c r="I657" s="35">
        <v>288.15774691154462</v>
      </c>
      <c r="J657" s="35">
        <v>297.13486013997397</v>
      </c>
      <c r="K657" s="35">
        <v>318.28605206062804</v>
      </c>
      <c r="L657" s="35">
        <v>361.39421523810529</v>
      </c>
    </row>
    <row r="658" spans="1:12">
      <c r="A658" s="35">
        <v>263.90778933270769</v>
      </c>
      <c r="B658" s="35">
        <v>267.91252887670106</v>
      </c>
      <c r="C658" s="35">
        <v>234.5582299004146</v>
      </c>
      <c r="D658" s="35">
        <v>243.76860085949926</v>
      </c>
      <c r="E658" s="35">
        <v>282.49801473801125</v>
      </c>
      <c r="F658" s="35">
        <v>257.77119437487727</v>
      </c>
      <c r="G658" s="35">
        <v>267.69673352288186</v>
      </c>
      <c r="H658" s="35">
        <v>261.44143221328204</v>
      </c>
      <c r="I658" s="35">
        <v>300.21134332191804</v>
      </c>
      <c r="J658" s="35">
        <v>312.24305549742121</v>
      </c>
      <c r="K658" s="35">
        <v>326.45928914725454</v>
      </c>
      <c r="L658" s="35">
        <v>372.90198576138243</v>
      </c>
    </row>
    <row r="659" spans="1:12">
      <c r="A659" s="35">
        <v>247.89948657663851</v>
      </c>
      <c r="B659" s="35">
        <v>260.2561070819624</v>
      </c>
      <c r="C659" s="35">
        <v>245.98538377200262</v>
      </c>
      <c r="D659" s="35">
        <v>245.54552422589899</v>
      </c>
      <c r="E659" s="35">
        <v>277.60749864734294</v>
      </c>
      <c r="F659" s="35">
        <v>254.29992488821355</v>
      </c>
      <c r="G659" s="35">
        <v>282.63506277934101</v>
      </c>
      <c r="H659" s="35">
        <v>273.19574621505274</v>
      </c>
      <c r="I659" s="35">
        <v>298.09341754536001</v>
      </c>
      <c r="J659" s="35">
        <v>336.87895515058909</v>
      </c>
      <c r="K659" s="35">
        <v>344.55558597562407</v>
      </c>
      <c r="L659" s="35">
        <v>416.8771340848391</v>
      </c>
    </row>
    <row r="660" spans="1:12">
      <c r="A660" s="35">
        <v>250.2035903932055</v>
      </c>
      <c r="B660" s="35">
        <v>270.24097834869161</v>
      </c>
      <c r="C660" s="35">
        <v>244.6202992636218</v>
      </c>
      <c r="D660" s="35">
        <v>236.66497706656847</v>
      </c>
      <c r="E660" s="35">
        <v>281.52565821762568</v>
      </c>
      <c r="F660" s="35">
        <v>237.602187597441</v>
      </c>
      <c r="G660" s="35">
        <v>242.05560073425642</v>
      </c>
      <c r="H660" s="35">
        <v>242.82428524378025</v>
      </c>
      <c r="I660" s="35">
        <v>276.91859967752873</v>
      </c>
      <c r="J660" s="35">
        <v>277.69978496266424</v>
      </c>
      <c r="K660" s="35">
        <v>275.55314856030714</v>
      </c>
      <c r="L660" s="35">
        <v>326.18937632039342</v>
      </c>
    </row>
    <row r="661" spans="1:12">
      <c r="A661" s="35">
        <v>254.75048863750925</v>
      </c>
      <c r="B661" s="35">
        <v>254.76408891707661</v>
      </c>
      <c r="C661" s="35">
        <v>242.00366954017866</v>
      </c>
      <c r="D661" s="35">
        <v>247.36604763746138</v>
      </c>
      <c r="E661" s="35">
        <v>282.27407940898837</v>
      </c>
      <c r="F661" s="35">
        <v>237.68356792593983</v>
      </c>
      <c r="G661" s="35">
        <v>249.54765345435567</v>
      </c>
      <c r="H661" s="35">
        <v>272.78438978923452</v>
      </c>
      <c r="I661" s="35">
        <v>290.90892998061787</v>
      </c>
      <c r="J661" s="35">
        <v>298.0370701556588</v>
      </c>
      <c r="K661" s="35">
        <v>318.12782644998322</v>
      </c>
      <c r="L661" s="35">
        <v>371.71534677944146</v>
      </c>
    </row>
    <row r="662" spans="1:12">
      <c r="A662" s="35">
        <v>248.0469015460593</v>
      </c>
      <c r="B662" s="35">
        <v>291.38747419466921</v>
      </c>
      <c r="C662" s="35">
        <v>231.22143276938809</v>
      </c>
      <c r="D662" s="35">
        <v>237.89083074397698</v>
      </c>
      <c r="E662" s="35">
        <v>276.90954184575497</v>
      </c>
      <c r="F662" s="35">
        <v>239.19591936147035</v>
      </c>
      <c r="G662" s="35">
        <v>247.96115799614523</v>
      </c>
      <c r="H662" s="35">
        <v>250.53938036927289</v>
      </c>
      <c r="I662" s="35">
        <v>273.74733843486365</v>
      </c>
      <c r="J662" s="35">
        <v>280.3714098984031</v>
      </c>
      <c r="K662" s="35">
        <v>293.70259447198231</v>
      </c>
      <c r="L662" s="35">
        <v>350.02698988383418</v>
      </c>
    </row>
    <row r="663" spans="1:12">
      <c r="A663" s="35">
        <v>249.68237129676498</v>
      </c>
      <c r="B663" s="35">
        <v>248.47301951320225</v>
      </c>
      <c r="C663" s="35">
        <v>243.75118307593641</v>
      </c>
      <c r="D663" s="35">
        <v>241.4884464430904</v>
      </c>
      <c r="E663" s="35">
        <v>272.24128276419538</v>
      </c>
      <c r="F663" s="35">
        <v>229.48946165970113</v>
      </c>
      <c r="G663" s="35">
        <v>257.34395272810417</v>
      </c>
      <c r="H663" s="35">
        <v>234.73102368196959</v>
      </c>
      <c r="I663" s="35">
        <v>262.99179719417845</v>
      </c>
      <c r="J663" s="35">
        <v>276.74550549470598</v>
      </c>
      <c r="K663" s="35">
        <v>290.11136849561916</v>
      </c>
      <c r="L663" s="35">
        <v>342.03038360352917</v>
      </c>
    </row>
    <row r="664" spans="1:12">
      <c r="A664" s="35">
        <v>247.88135039781176</v>
      </c>
      <c r="B664" s="35">
        <v>266.84968229507825</v>
      </c>
      <c r="C664" s="35">
        <v>252.36637351254245</v>
      </c>
      <c r="D664" s="35">
        <v>237.39058879042091</v>
      </c>
      <c r="E664" s="35">
        <v>295.20628047430455</v>
      </c>
      <c r="F664" s="35">
        <v>264.8161505395214</v>
      </c>
      <c r="G664" s="35">
        <v>273.23206967673514</v>
      </c>
      <c r="H664" s="35">
        <v>268.10787236184564</v>
      </c>
      <c r="I664" s="35">
        <v>302.9158801211986</v>
      </c>
      <c r="J664" s="35">
        <v>315.63866499222758</v>
      </c>
      <c r="K664" s="35">
        <v>337.64766678435933</v>
      </c>
      <c r="L664" s="35">
        <v>399.93422541558607</v>
      </c>
    </row>
    <row r="665" spans="1:12">
      <c r="A665" s="35">
        <v>237.81894235570147</v>
      </c>
      <c r="B665" s="35">
        <v>260.40046913913022</v>
      </c>
      <c r="C665" s="35">
        <v>226.68362987955351</v>
      </c>
      <c r="D665" s="35">
        <v>236.92006777597027</v>
      </c>
      <c r="E665" s="35">
        <v>266.94586467031297</v>
      </c>
      <c r="F665" s="35">
        <v>242.97134919472597</v>
      </c>
      <c r="G665" s="35">
        <v>249.80865563676093</v>
      </c>
      <c r="H665" s="35">
        <v>270.12134287912278</v>
      </c>
      <c r="I665" s="35">
        <v>285.61843526985081</v>
      </c>
      <c r="J665" s="35">
        <v>304.87786009757917</v>
      </c>
      <c r="K665" s="35">
        <v>308.00251781087582</v>
      </c>
      <c r="L665" s="35">
        <v>363.00462186969338</v>
      </c>
    </row>
    <row r="666" spans="1:12">
      <c r="A666" s="35">
        <v>237.98534083467351</v>
      </c>
      <c r="B666" s="35">
        <v>256.90857169770635</v>
      </c>
      <c r="C666" s="35">
        <v>250.75522341435629</v>
      </c>
      <c r="D666" s="35">
        <v>262.24550102443931</v>
      </c>
      <c r="E666" s="35">
        <v>305.16918664509814</v>
      </c>
      <c r="F666" s="35">
        <v>256.46171392529681</v>
      </c>
      <c r="G666" s="35">
        <v>258.71506986555494</v>
      </c>
      <c r="H666" s="35">
        <v>268.31580817367205</v>
      </c>
      <c r="I666" s="35">
        <v>293.91287392396049</v>
      </c>
      <c r="J666" s="35">
        <v>326.78280893963262</v>
      </c>
      <c r="K666" s="35">
        <v>340.92588821246733</v>
      </c>
      <c r="L666" s="35">
        <v>388.07552803702509</v>
      </c>
    </row>
    <row r="667" spans="1:12">
      <c r="A667" s="35">
        <v>245.35734005597689</v>
      </c>
      <c r="B667" s="35">
        <v>271.0070491826595</v>
      </c>
      <c r="C667" s="35">
        <v>251.10389278075442</v>
      </c>
      <c r="D667" s="35">
        <v>252.74116973785073</v>
      </c>
      <c r="E667" s="35">
        <v>296.83664162892035</v>
      </c>
      <c r="F667" s="35">
        <v>264.8032628469611</v>
      </c>
      <c r="G667" s="35">
        <v>293.47580064601215</v>
      </c>
      <c r="H667" s="35">
        <v>270.51307294008842</v>
      </c>
      <c r="I667" s="35">
        <v>329.77349039984631</v>
      </c>
      <c r="J667" s="35">
        <v>339.65932274439405</v>
      </c>
      <c r="K667" s="35">
        <v>336.32754222805238</v>
      </c>
      <c r="L667" s="35">
        <v>420.36953623016058</v>
      </c>
    </row>
    <row r="668" spans="1:12">
      <c r="A668" s="35">
        <v>238.61176641864463</v>
      </c>
      <c r="B668" s="35">
        <v>268.24108913544245</v>
      </c>
      <c r="C668" s="35">
        <v>244.33717066949512</v>
      </c>
      <c r="D668" s="35">
        <v>242.67124537419485</v>
      </c>
      <c r="E668" s="35">
        <v>285.68933655657401</v>
      </c>
      <c r="F668" s="35">
        <v>245.02475695061824</v>
      </c>
      <c r="G668" s="35">
        <v>240.63975383364371</v>
      </c>
      <c r="H668" s="35">
        <v>245.35054591934826</v>
      </c>
      <c r="I668" s="35">
        <v>287.26720911817216</v>
      </c>
      <c r="J668" s="35">
        <v>296.83878191379694</v>
      </c>
      <c r="K668" s="35">
        <v>307.80362623846133</v>
      </c>
      <c r="L668" s="35">
        <v>368.68020916034584</v>
      </c>
    </row>
    <row r="669" spans="1:12">
      <c r="A669" s="35">
        <v>230.43426299179058</v>
      </c>
      <c r="B669" s="35">
        <v>253.73760691008752</v>
      </c>
      <c r="C669" s="35">
        <v>230.39351661246485</v>
      </c>
      <c r="D669" s="35">
        <v>245.48882771906258</v>
      </c>
      <c r="E669" s="35">
        <v>273.90628142261579</v>
      </c>
      <c r="F669" s="35">
        <v>227.20587243852864</v>
      </c>
      <c r="G669" s="35">
        <v>257.05020497090493</v>
      </c>
      <c r="H669" s="35">
        <v>266.65265095944039</v>
      </c>
      <c r="I669" s="35">
        <v>281.27155827773981</v>
      </c>
      <c r="J669" s="35">
        <v>293.242583298108</v>
      </c>
      <c r="K669" s="35">
        <v>301.53108761185928</v>
      </c>
      <c r="L669" s="35">
        <v>354.4547262587696</v>
      </c>
    </row>
    <row r="670" spans="1:12">
      <c r="A670" s="35">
        <v>248.97869621684387</v>
      </c>
      <c r="B670" s="35">
        <v>252.18473045777603</v>
      </c>
      <c r="C670" s="35">
        <v>244.13997984091878</v>
      </c>
      <c r="D670" s="35">
        <v>247.7630269868414</v>
      </c>
      <c r="E670" s="35">
        <v>280.12484876550883</v>
      </c>
      <c r="F670" s="35">
        <v>244.54811435676029</v>
      </c>
      <c r="G670" s="35">
        <v>274.3421875492192</v>
      </c>
      <c r="H670" s="35">
        <v>257.51385218936747</v>
      </c>
      <c r="I670" s="35">
        <v>292.80370729298539</v>
      </c>
      <c r="J670" s="35">
        <v>297.43695484679284</v>
      </c>
      <c r="K670" s="35">
        <v>316.15815699467788</v>
      </c>
      <c r="L670" s="35">
        <v>384.97923717868576</v>
      </c>
    </row>
    <row r="671" spans="1:12">
      <c r="A671" s="35">
        <v>245.69836630742185</v>
      </c>
      <c r="B671" s="35">
        <v>277.8368653831875</v>
      </c>
      <c r="C671" s="35">
        <v>257.10724102998086</v>
      </c>
      <c r="D671" s="35">
        <v>241.70847288785862</v>
      </c>
      <c r="E671" s="35">
        <v>310.93410617883308</v>
      </c>
      <c r="F671" s="35">
        <v>249.12118285132931</v>
      </c>
      <c r="G671" s="35">
        <v>275.25855570776025</v>
      </c>
      <c r="H671" s="35">
        <v>274.06398697616237</v>
      </c>
      <c r="I671" s="35">
        <v>295.61411700010831</v>
      </c>
      <c r="J671" s="35">
        <v>318.62353415003247</v>
      </c>
      <c r="K671" s="35">
        <v>355.63955693809294</v>
      </c>
      <c r="L671" s="35">
        <v>411.6572192128865</v>
      </c>
    </row>
    <row r="672" spans="1:12">
      <c r="A672" s="35">
        <v>250.71000859251248</v>
      </c>
      <c r="B672" s="35">
        <v>272.57911981102649</v>
      </c>
      <c r="C672" s="35">
        <v>254.23343300187574</v>
      </c>
      <c r="D672" s="35">
        <v>244.63056110499741</v>
      </c>
      <c r="E672" s="35">
        <v>289.81563908784722</v>
      </c>
      <c r="F672" s="35">
        <v>242.10245783036041</v>
      </c>
      <c r="G672" s="35">
        <v>263.94867504916323</v>
      </c>
      <c r="H672" s="35">
        <v>250.30465451280429</v>
      </c>
      <c r="I672" s="35">
        <v>278.66692630863355</v>
      </c>
      <c r="J672" s="35">
        <v>297.56548717044791</v>
      </c>
      <c r="K672" s="35">
        <v>309.49907582138934</v>
      </c>
      <c r="L672" s="35">
        <v>342.49575992461087</v>
      </c>
    </row>
    <row r="673" spans="1:12">
      <c r="A673" s="35">
        <v>239.78685535900377</v>
      </c>
      <c r="B673" s="35">
        <v>251.64309449844623</v>
      </c>
      <c r="C673" s="35">
        <v>234.71055662636675</v>
      </c>
      <c r="D673" s="35">
        <v>227.6795097432927</v>
      </c>
      <c r="E673" s="35">
        <v>285.80217068194924</v>
      </c>
      <c r="F673" s="35">
        <v>220.83666806780406</v>
      </c>
      <c r="G673" s="35">
        <v>246.8650007359787</v>
      </c>
      <c r="H673" s="35">
        <v>237.41542521900325</v>
      </c>
      <c r="I673" s="35">
        <v>252.1092393656445</v>
      </c>
      <c r="J673" s="35">
        <v>263.1655366111878</v>
      </c>
      <c r="K673" s="35">
        <v>274.20751075589732</v>
      </c>
      <c r="L673" s="35">
        <v>326.65449887994077</v>
      </c>
    </row>
    <row r="674" spans="1:12">
      <c r="A674" s="35">
        <v>249.47330996319033</v>
      </c>
      <c r="B674" s="35">
        <v>264.13286201621963</v>
      </c>
      <c r="C674" s="35">
        <v>255.52883049322477</v>
      </c>
      <c r="D674" s="35">
        <v>253.24373875987789</v>
      </c>
      <c r="E674" s="35">
        <v>295.82485429249442</v>
      </c>
      <c r="F674" s="35">
        <v>252.66216446050137</v>
      </c>
      <c r="G674" s="35">
        <v>268.44708396620894</v>
      </c>
      <c r="H674" s="35">
        <v>279.27498752991494</v>
      </c>
      <c r="I674" s="35">
        <v>301.55597450455173</v>
      </c>
      <c r="J674" s="35">
        <v>320.3240343716526</v>
      </c>
      <c r="K674" s="35">
        <v>332.56944472460958</v>
      </c>
      <c r="L674" s="35">
        <v>382.53946957876349</v>
      </c>
    </row>
    <row r="675" spans="1:12">
      <c r="A675" s="35">
        <v>231.14949626092132</v>
      </c>
      <c r="B675" s="35">
        <v>273.08932574980412</v>
      </c>
      <c r="C675" s="35">
        <v>236.22324445779742</v>
      </c>
      <c r="D675" s="35">
        <v>247.66396811140035</v>
      </c>
      <c r="E675" s="35">
        <v>295.40444396981076</v>
      </c>
      <c r="F675" s="35">
        <v>265.5812161889113</v>
      </c>
      <c r="G675" s="35">
        <v>245.20109476221793</v>
      </c>
      <c r="H675" s="35">
        <v>268.13062321799021</v>
      </c>
      <c r="I675" s="35">
        <v>287.29131815340423</v>
      </c>
      <c r="J675" s="35">
        <v>292.18369553538759</v>
      </c>
      <c r="K675" s="35">
        <v>322.41966221037364</v>
      </c>
      <c r="L675" s="35">
        <v>355.42849988041132</v>
      </c>
    </row>
    <row r="676" spans="1:12">
      <c r="A676" s="35">
        <v>245.78637733255675</v>
      </c>
      <c r="B676" s="35">
        <v>277.25300949561392</v>
      </c>
      <c r="C676" s="35">
        <v>269.94136451122438</v>
      </c>
      <c r="D676" s="35">
        <v>252.45424612252427</v>
      </c>
      <c r="E676" s="35">
        <v>323.58150135052512</v>
      </c>
      <c r="F676" s="35">
        <v>274.72630416809767</v>
      </c>
      <c r="G676" s="35">
        <v>282.62249097353953</v>
      </c>
      <c r="H676" s="35">
        <v>293.15269913442262</v>
      </c>
      <c r="I676" s="35">
        <v>312.34949073930346</v>
      </c>
      <c r="J676" s="35">
        <v>344.65533562359991</v>
      </c>
      <c r="K676" s="35">
        <v>355.31109888663178</v>
      </c>
      <c r="L676" s="35">
        <v>435.29691716051656</v>
      </c>
    </row>
    <row r="677" spans="1:12">
      <c r="A677" s="35">
        <v>232.84096484624288</v>
      </c>
      <c r="B677" s="35">
        <v>249.28797486779609</v>
      </c>
      <c r="C677" s="35">
        <v>230.46773283877826</v>
      </c>
      <c r="D677" s="35">
        <v>238.65239376175617</v>
      </c>
      <c r="E677" s="35">
        <v>260.93390034058655</v>
      </c>
      <c r="F677" s="35">
        <v>245.37338881491021</v>
      </c>
      <c r="G677" s="35">
        <v>246.80058470751149</v>
      </c>
      <c r="H677" s="35">
        <v>242.34328222239174</v>
      </c>
      <c r="I677" s="35">
        <v>255.78663305560852</v>
      </c>
      <c r="J677" s="35">
        <v>272.60960712529265</v>
      </c>
      <c r="K677" s="35">
        <v>277.56425970149792</v>
      </c>
      <c r="L677" s="35">
        <v>322.46569146308428</v>
      </c>
    </row>
    <row r="678" spans="1:12">
      <c r="A678" s="35">
        <v>236.42042986402518</v>
      </c>
      <c r="B678" s="35">
        <v>273.11016006287213</v>
      </c>
      <c r="C678" s="35">
        <v>233.26115109575346</v>
      </c>
      <c r="D678" s="35">
        <v>233.96429055974374</v>
      </c>
      <c r="E678" s="35">
        <v>278.94030572021148</v>
      </c>
      <c r="F678" s="35">
        <v>262.68949841077597</v>
      </c>
      <c r="G678" s="35">
        <v>268.23673115989573</v>
      </c>
      <c r="H678" s="35">
        <v>282.12711435813202</v>
      </c>
      <c r="I678" s="35">
        <v>291.36639643689199</v>
      </c>
      <c r="J678" s="35">
        <v>319.34366316476837</v>
      </c>
      <c r="K678" s="35">
        <v>318.97354270156666</v>
      </c>
      <c r="L678" s="35">
        <v>375.64372015628544</v>
      </c>
    </row>
    <row r="679" spans="1:12">
      <c r="A679" s="35">
        <v>249.58777869769281</v>
      </c>
      <c r="B679" s="35">
        <v>268.43916120188106</v>
      </c>
      <c r="C679" s="35">
        <v>251.66081074686761</v>
      </c>
      <c r="D679" s="35">
        <v>248.40135662140594</v>
      </c>
      <c r="E679" s="35">
        <v>280.60456908583393</v>
      </c>
      <c r="F679" s="35">
        <v>258.05444995391912</v>
      </c>
      <c r="G679" s="35">
        <v>264.11199650909748</v>
      </c>
      <c r="H679" s="35">
        <v>261.51946977406823</v>
      </c>
      <c r="I679" s="35">
        <v>295.2074948369858</v>
      </c>
      <c r="J679" s="35">
        <v>293.81296089106081</v>
      </c>
      <c r="K679" s="35">
        <v>320.18098725776298</v>
      </c>
      <c r="L679" s="35">
        <v>374.4537482951136</v>
      </c>
    </row>
    <row r="680" spans="1:12">
      <c r="A680" s="35">
        <v>220.18759335844183</v>
      </c>
      <c r="B680" s="35">
        <v>255.68157858029053</v>
      </c>
      <c r="C680" s="35">
        <v>221.69845332910569</v>
      </c>
      <c r="D680" s="35">
        <v>242.07313057483518</v>
      </c>
      <c r="E680" s="35">
        <v>276.25730458929644</v>
      </c>
      <c r="F680" s="35">
        <v>244.13022953022585</v>
      </c>
      <c r="G680" s="35">
        <v>255.5884134128691</v>
      </c>
      <c r="H680" s="35">
        <v>255.6273745770572</v>
      </c>
      <c r="I680" s="35">
        <v>304.29186123965553</v>
      </c>
      <c r="J680" s="35">
        <v>298.39450961371909</v>
      </c>
      <c r="K680" s="35">
        <v>305.77748044741952</v>
      </c>
      <c r="L680" s="35">
        <v>375.9844595540614</v>
      </c>
    </row>
    <row r="681" spans="1:12">
      <c r="A681" s="35">
        <v>260.32851609249963</v>
      </c>
      <c r="B681" s="35">
        <v>276.33333316220524</v>
      </c>
      <c r="C681" s="35">
        <v>259.34422916130802</v>
      </c>
      <c r="D681" s="35">
        <v>243.12207472665139</v>
      </c>
      <c r="E681" s="35">
        <v>302.96278151419841</v>
      </c>
      <c r="F681" s="35">
        <v>267.84330093016638</v>
      </c>
      <c r="G681" s="35">
        <v>278.94732903036237</v>
      </c>
      <c r="H681" s="35">
        <v>289.77852105448108</v>
      </c>
      <c r="I681" s="35">
        <v>317.06487780982008</v>
      </c>
      <c r="J681" s="35">
        <v>334.78612824081159</v>
      </c>
      <c r="K681" s="35">
        <v>352.7923482725638</v>
      </c>
      <c r="L681" s="35">
        <v>403.13260922036091</v>
      </c>
    </row>
    <row r="682" spans="1:12">
      <c r="A682" s="35">
        <v>244.61587255798281</v>
      </c>
      <c r="B682" s="35">
        <v>278.21943122012487</v>
      </c>
      <c r="C682" s="35">
        <v>220.80237595044252</v>
      </c>
      <c r="D682" s="35">
        <v>231.6690216949433</v>
      </c>
      <c r="E682" s="35">
        <v>257.76476769988869</v>
      </c>
      <c r="F682" s="35">
        <v>255.34205320358899</v>
      </c>
      <c r="G682" s="35">
        <v>262.99699091830468</v>
      </c>
      <c r="H682" s="35">
        <v>252.42189249388269</v>
      </c>
      <c r="I682" s="35">
        <v>265.12390571816627</v>
      </c>
      <c r="J682" s="35">
        <v>282.2864647961369</v>
      </c>
      <c r="K682" s="35">
        <v>300.57966185915166</v>
      </c>
      <c r="L682" s="35">
        <v>367.09345005514359</v>
      </c>
    </row>
    <row r="683" spans="1:12">
      <c r="A683" s="35">
        <v>240.33859720778693</v>
      </c>
      <c r="B683" s="35">
        <v>254.86229100431643</v>
      </c>
      <c r="C683" s="35">
        <v>240.65256696441205</v>
      </c>
      <c r="D683" s="35">
        <v>232.85045425676739</v>
      </c>
      <c r="E683" s="35">
        <v>261.18485937833844</v>
      </c>
      <c r="F683" s="35">
        <v>250.11303838446537</v>
      </c>
      <c r="G683" s="35">
        <v>237.08328567633384</v>
      </c>
      <c r="H683" s="35">
        <v>242.36430846924705</v>
      </c>
      <c r="I683" s="35">
        <v>263.94437064146609</v>
      </c>
      <c r="J683" s="35">
        <v>267.33134975774749</v>
      </c>
      <c r="K683" s="35">
        <v>280.26474455875285</v>
      </c>
      <c r="L683" s="35">
        <v>324.99074033340537</v>
      </c>
    </row>
    <row r="684" spans="1:12">
      <c r="A684" s="35">
        <v>244.15829059695392</v>
      </c>
      <c r="B684" s="35">
        <v>265.05587320757201</v>
      </c>
      <c r="C684" s="35">
        <v>247.29660890998525</v>
      </c>
      <c r="D684" s="35">
        <v>246.96190893051741</v>
      </c>
      <c r="E684" s="35">
        <v>285.1365235752524</v>
      </c>
      <c r="F684" s="35">
        <v>268.55836209885155</v>
      </c>
      <c r="G684" s="35">
        <v>263.81306760657691</v>
      </c>
      <c r="H684" s="35">
        <v>261.72626096783893</v>
      </c>
      <c r="I684" s="35">
        <v>292.17687521050794</v>
      </c>
      <c r="J684" s="35">
        <v>305.9671752769803</v>
      </c>
      <c r="K684" s="35">
        <v>325.02966637178628</v>
      </c>
      <c r="L684" s="35">
        <v>394.70214338905805</v>
      </c>
    </row>
    <row r="685" spans="1:12">
      <c r="A685" s="35">
        <v>256.84774713517197</v>
      </c>
      <c r="B685" s="35">
        <v>229.66092383339804</v>
      </c>
      <c r="C685" s="35">
        <v>233.97155427701915</v>
      </c>
      <c r="D685" s="35">
        <v>224.12425395974995</v>
      </c>
      <c r="E685" s="35">
        <v>275.20603106572139</v>
      </c>
      <c r="F685" s="35">
        <v>253.25161242295192</v>
      </c>
      <c r="G685" s="35">
        <v>247.36037606349817</v>
      </c>
      <c r="H685" s="35">
        <v>266.43403693556036</v>
      </c>
      <c r="I685" s="35">
        <v>276.2247950576039</v>
      </c>
      <c r="J685" s="35">
        <v>286.02819706328194</v>
      </c>
      <c r="K685" s="35">
        <v>296.44566871480362</v>
      </c>
      <c r="L685" s="35">
        <v>350.49281069724259</v>
      </c>
    </row>
    <row r="686" spans="1:12">
      <c r="A686" s="35">
        <v>249.87021891547448</v>
      </c>
      <c r="B686" s="35">
        <v>266.12038376169301</v>
      </c>
      <c r="C686" s="35">
        <v>232.88957243965905</v>
      </c>
      <c r="D686" s="35">
        <v>245.90067999967087</v>
      </c>
      <c r="E686" s="35">
        <v>292.32412735083147</v>
      </c>
      <c r="F686" s="35">
        <v>249.73774206141843</v>
      </c>
      <c r="G686" s="35">
        <v>257.29744490876027</v>
      </c>
      <c r="H686" s="35">
        <v>258.94752132728451</v>
      </c>
      <c r="I686" s="35">
        <v>284.50205219637496</v>
      </c>
      <c r="J686" s="35">
        <v>298.12665469973609</v>
      </c>
      <c r="K686" s="35">
        <v>324.80990574946082</v>
      </c>
      <c r="L686" s="35">
        <v>378.50519119333057</v>
      </c>
    </row>
    <row r="687" spans="1:12">
      <c r="A687" s="35">
        <v>228.29960039837707</v>
      </c>
      <c r="B687" s="35">
        <v>288.1374708378832</v>
      </c>
      <c r="C687" s="35">
        <v>246.45245209269552</v>
      </c>
      <c r="D687" s="35">
        <v>240.27248063931711</v>
      </c>
      <c r="E687" s="35">
        <v>294.17570793030143</v>
      </c>
      <c r="F687" s="35">
        <v>260.02273751668332</v>
      </c>
      <c r="G687" s="35">
        <v>290.38097691975941</v>
      </c>
      <c r="H687" s="35">
        <v>271.6616661731714</v>
      </c>
      <c r="I687" s="35">
        <v>320.91077388099717</v>
      </c>
      <c r="J687" s="35">
        <v>315.64723103394897</v>
      </c>
      <c r="K687" s="35">
        <v>334.80026380205567</v>
      </c>
      <c r="L687" s="35">
        <v>400.96502830924209</v>
      </c>
    </row>
    <row r="688" spans="1:12">
      <c r="A688" s="35">
        <v>259.54608740667425</v>
      </c>
      <c r="B688" s="35">
        <v>264.67639469886973</v>
      </c>
      <c r="C688" s="35">
        <v>238.42869285257387</v>
      </c>
      <c r="D688" s="35">
        <v>242.85790837926783</v>
      </c>
      <c r="E688" s="35">
        <v>284.50492084761601</v>
      </c>
      <c r="F688" s="35">
        <v>253.18101155599632</v>
      </c>
      <c r="G688" s="35">
        <v>245.37861934859882</v>
      </c>
      <c r="H688" s="35">
        <v>266.59155399461326</v>
      </c>
      <c r="I688" s="35">
        <v>290.61389733615641</v>
      </c>
      <c r="J688" s="35">
        <v>307.81315021545521</v>
      </c>
      <c r="K688" s="35">
        <v>325.85321140803381</v>
      </c>
      <c r="L688" s="35">
        <v>377.2816268178039</v>
      </c>
    </row>
    <row r="689" spans="1:12">
      <c r="A689" s="35">
        <v>262.73636158632166</v>
      </c>
      <c r="B689" s="35">
        <v>282.92943082948671</v>
      </c>
      <c r="C689" s="35">
        <v>248.94229771368688</v>
      </c>
      <c r="D689" s="35">
        <v>236.1738440144793</v>
      </c>
      <c r="E689" s="35">
        <v>283.35669060340081</v>
      </c>
      <c r="F689" s="35">
        <v>266.64639352914469</v>
      </c>
      <c r="G689" s="35">
        <v>274.07913553913687</v>
      </c>
      <c r="H689" s="35">
        <v>285.54791618636744</v>
      </c>
      <c r="I689" s="35">
        <v>296.28650070211262</v>
      </c>
      <c r="J689" s="35">
        <v>326.81384370224498</v>
      </c>
      <c r="K689" s="35">
        <v>326.77034527585721</v>
      </c>
      <c r="L689" s="35">
        <v>390.03086617431916</v>
      </c>
    </row>
    <row r="690" spans="1:12">
      <c r="A690" s="35">
        <v>244.25295486664686</v>
      </c>
      <c r="B690" s="35">
        <v>266.38886095106602</v>
      </c>
      <c r="C690" s="35">
        <v>244.06163603166965</v>
      </c>
      <c r="D690" s="35">
        <v>233.62341541014226</v>
      </c>
      <c r="E690" s="35">
        <v>288.03457958612552</v>
      </c>
      <c r="F690" s="35">
        <v>230.86521154927769</v>
      </c>
      <c r="G690" s="35">
        <v>231.26132622808038</v>
      </c>
      <c r="H690" s="35">
        <v>226.91519134951284</v>
      </c>
      <c r="I690" s="35">
        <v>256.92771206938374</v>
      </c>
      <c r="J690" s="35">
        <v>275.63056078125879</v>
      </c>
      <c r="K690" s="35">
        <v>285.05194021038017</v>
      </c>
      <c r="L690" s="35">
        <v>324.36468303341957</v>
      </c>
    </row>
    <row r="691" spans="1:12">
      <c r="A691" s="35">
        <v>256.38338642674785</v>
      </c>
      <c r="B691" s="35">
        <v>266.14334139967889</v>
      </c>
      <c r="C691" s="35">
        <v>223.28175006022167</v>
      </c>
      <c r="D691" s="35">
        <v>236.61608020717213</v>
      </c>
      <c r="E691" s="35">
        <v>281.06236865508816</v>
      </c>
      <c r="F691" s="35">
        <v>267.67089309689669</v>
      </c>
      <c r="G691" s="35">
        <v>275.0068666813325</v>
      </c>
      <c r="H691" s="35">
        <v>278.9202568911719</v>
      </c>
      <c r="I691" s="35">
        <v>311.19546458583392</v>
      </c>
      <c r="J691" s="35">
        <v>336.32542045921275</v>
      </c>
      <c r="K691" s="35">
        <v>346.49807943563076</v>
      </c>
      <c r="L691" s="35">
        <v>408.08750910816411</v>
      </c>
    </row>
    <row r="692" spans="1:12">
      <c r="A692" s="35">
        <v>223.70010260765153</v>
      </c>
      <c r="B692" s="35">
        <v>249.11456884632929</v>
      </c>
      <c r="C692" s="35">
        <v>240.88871324485149</v>
      </c>
      <c r="D692" s="35">
        <v>242.84526724752016</v>
      </c>
      <c r="E692" s="35">
        <v>269.23396452988533</v>
      </c>
      <c r="F692" s="35">
        <v>259.4254212024415</v>
      </c>
      <c r="G692" s="35">
        <v>265.5989168188936</v>
      </c>
      <c r="H692" s="35">
        <v>259.59353955749611</v>
      </c>
      <c r="I692" s="35">
        <v>289.10495277001746</v>
      </c>
      <c r="J692" s="35">
        <v>302.27994137613791</v>
      </c>
      <c r="K692" s="35">
        <v>308.1490075568683</v>
      </c>
      <c r="L692" s="35">
        <v>349.16083413606231</v>
      </c>
    </row>
    <row r="693" spans="1:12">
      <c r="A693" s="35">
        <v>251.72619710671108</v>
      </c>
      <c r="B693" s="35">
        <v>290.53862515347873</v>
      </c>
      <c r="C693" s="35">
        <v>260.45017227793733</v>
      </c>
      <c r="D693" s="35">
        <v>261.52403420149267</v>
      </c>
      <c r="E693" s="35">
        <v>309.42106944262952</v>
      </c>
      <c r="F693" s="35">
        <v>271.39259460820472</v>
      </c>
      <c r="G693" s="35">
        <v>293.41778182741479</v>
      </c>
      <c r="H693" s="35">
        <v>296.96912775598435</v>
      </c>
      <c r="I693" s="35">
        <v>327.58851961918094</v>
      </c>
      <c r="J693" s="35">
        <v>342.88090501764214</v>
      </c>
      <c r="K693" s="35">
        <v>371.10158156870534</v>
      </c>
      <c r="L693" s="35">
        <v>446.37046604538824</v>
      </c>
    </row>
    <row r="694" spans="1:12">
      <c r="A694" s="35">
        <v>238.55578644798223</v>
      </c>
      <c r="B694" s="35">
        <v>266.41348867264423</v>
      </c>
      <c r="C694" s="35">
        <v>246.75071316681428</v>
      </c>
      <c r="D694" s="35">
        <v>229.37161406291835</v>
      </c>
      <c r="E694" s="35">
        <v>280.64759767578016</v>
      </c>
      <c r="F694" s="35">
        <v>244.3612108484605</v>
      </c>
      <c r="G694" s="35">
        <v>242.72781381619117</v>
      </c>
      <c r="H694" s="35">
        <v>239.12078001785258</v>
      </c>
      <c r="I694" s="35">
        <v>269.57535376990938</v>
      </c>
      <c r="J694" s="35">
        <v>261.87013248075812</v>
      </c>
      <c r="K694" s="35">
        <v>304.63026206795064</v>
      </c>
      <c r="L694" s="35">
        <v>344.57392197349083</v>
      </c>
    </row>
    <row r="695" spans="1:12">
      <c r="A695" s="35">
        <v>230.17577892297174</v>
      </c>
      <c r="B695" s="35">
        <v>262.61022173386613</v>
      </c>
      <c r="C695" s="35">
        <v>231.31572636339217</v>
      </c>
      <c r="D695" s="35">
        <v>230.50571189680414</v>
      </c>
      <c r="E695" s="35">
        <v>268.78980774629667</v>
      </c>
      <c r="F695" s="35">
        <v>228.13891131855246</v>
      </c>
      <c r="G695" s="35">
        <v>227.88996019078419</v>
      </c>
      <c r="H695" s="35">
        <v>236.59425984396978</v>
      </c>
      <c r="I695" s="35">
        <v>263.41780121786087</v>
      </c>
      <c r="J695" s="35">
        <v>270.23867067081289</v>
      </c>
      <c r="K695" s="35">
        <v>277.63876943493767</v>
      </c>
      <c r="L695" s="35">
        <v>326.05819846141236</v>
      </c>
    </row>
    <row r="696" spans="1:12">
      <c r="A696" s="35">
        <v>236.88330782679554</v>
      </c>
      <c r="B696" s="35">
        <v>265.97071659990473</v>
      </c>
      <c r="C696" s="35">
        <v>249.65951335079859</v>
      </c>
      <c r="D696" s="35">
        <v>229.36164265104767</v>
      </c>
      <c r="E696" s="35">
        <v>286.95678431450693</v>
      </c>
      <c r="F696" s="35">
        <v>243.75262461448398</v>
      </c>
      <c r="G696" s="35">
        <v>254.63099362971172</v>
      </c>
      <c r="H696" s="35">
        <v>263.64899748114914</v>
      </c>
      <c r="I696" s="35">
        <v>286.40547092029306</v>
      </c>
      <c r="J696" s="35">
        <v>305.61745539834652</v>
      </c>
      <c r="K696" s="35">
        <v>309.3754726176233</v>
      </c>
      <c r="L696" s="35">
        <v>370.49595393319197</v>
      </c>
    </row>
    <row r="697" spans="1:12">
      <c r="A697" s="35">
        <v>244.69854069740538</v>
      </c>
      <c r="B697" s="35">
        <v>279.27654079655866</v>
      </c>
      <c r="C697" s="35">
        <v>258.70408484262219</v>
      </c>
      <c r="D697" s="35">
        <v>251.47309022759211</v>
      </c>
      <c r="E697" s="35">
        <v>305.10501073978924</v>
      </c>
      <c r="F697" s="35">
        <v>256.47869836375475</v>
      </c>
      <c r="G697" s="35">
        <v>274.88504487623317</v>
      </c>
      <c r="H697" s="35">
        <v>284.21783444422857</v>
      </c>
      <c r="I697" s="35">
        <v>300.04798542375602</v>
      </c>
      <c r="J697" s="35">
        <v>313.62593972842302</v>
      </c>
      <c r="K697" s="35">
        <v>334.89201209777343</v>
      </c>
      <c r="L697" s="35">
        <v>387.80278402198007</v>
      </c>
    </row>
    <row r="698" spans="1:12">
      <c r="A698" s="35">
        <v>242.77708568069551</v>
      </c>
      <c r="B698" s="35">
        <v>275.34881284292373</v>
      </c>
      <c r="C698" s="35">
        <v>242.64974259257923</v>
      </c>
      <c r="D698" s="35">
        <v>242.37929638765479</v>
      </c>
      <c r="E698" s="35">
        <v>284.47915660834065</v>
      </c>
      <c r="F698" s="35">
        <v>245.67099369717917</v>
      </c>
      <c r="G698" s="35">
        <v>265.96388722673157</v>
      </c>
      <c r="H698" s="35">
        <v>271.95517293736526</v>
      </c>
      <c r="I698" s="35">
        <v>294.69298587465516</v>
      </c>
      <c r="J698" s="35">
        <v>320.35874683628759</v>
      </c>
      <c r="K698" s="35">
        <v>341.02226385210963</v>
      </c>
      <c r="L698" s="35">
        <v>396.57612595471375</v>
      </c>
    </row>
    <row r="699" spans="1:12">
      <c r="A699" s="35">
        <v>261.90300353331793</v>
      </c>
      <c r="B699" s="35">
        <v>279.12607263601348</v>
      </c>
      <c r="C699" s="35">
        <v>258.11362937794507</v>
      </c>
      <c r="D699" s="35">
        <v>250.42570236067132</v>
      </c>
      <c r="E699" s="35">
        <v>290.97452635801068</v>
      </c>
      <c r="F699" s="35">
        <v>279.86231924933514</v>
      </c>
      <c r="G699" s="35">
        <v>298.98800648554982</v>
      </c>
      <c r="H699" s="35">
        <v>288.76869488793665</v>
      </c>
      <c r="I699" s="35">
        <v>309.22061807410938</v>
      </c>
      <c r="J699" s="35">
        <v>357.96716677310553</v>
      </c>
      <c r="K699" s="35">
        <v>366.33300545125229</v>
      </c>
      <c r="L699" s="35">
        <v>425.07477362038179</v>
      </c>
    </row>
    <row r="700" spans="1:12">
      <c r="A700" s="35">
        <v>220.05321464455616</v>
      </c>
      <c r="B700" s="35">
        <v>269.30507979254389</v>
      </c>
      <c r="C700" s="35">
        <v>235.83667381756536</v>
      </c>
      <c r="D700" s="35">
        <v>228.88699309041161</v>
      </c>
      <c r="E700" s="35">
        <v>272.08664223262303</v>
      </c>
      <c r="F700" s="35">
        <v>218.09983990788183</v>
      </c>
      <c r="G700" s="35">
        <v>219.37024978900169</v>
      </c>
      <c r="H700" s="35">
        <v>233.94407230698451</v>
      </c>
      <c r="I700" s="35">
        <v>246.30715079753872</v>
      </c>
      <c r="J700" s="35">
        <v>257.3544144907151</v>
      </c>
      <c r="K700" s="35">
        <v>271.48475374712268</v>
      </c>
      <c r="L700" s="35">
        <v>300.65304951773186</v>
      </c>
    </row>
    <row r="701" spans="1:12">
      <c r="A701" s="35">
        <v>263.52665549990724</v>
      </c>
      <c r="B701" s="35">
        <v>264.15886056578893</v>
      </c>
      <c r="C701" s="35">
        <v>238.34152070365388</v>
      </c>
      <c r="D701" s="35">
        <v>227.00212419196058</v>
      </c>
      <c r="E701" s="35">
        <v>280.78139624095581</v>
      </c>
      <c r="F701" s="35">
        <v>234.28364805693624</v>
      </c>
      <c r="G701" s="35">
        <v>244.39505075491542</v>
      </c>
      <c r="H701" s="35">
        <v>260.45649705783751</v>
      </c>
      <c r="I701" s="35">
        <v>282.74873840545774</v>
      </c>
      <c r="J701" s="35">
        <v>301.53480935764622</v>
      </c>
      <c r="K701" s="35">
        <v>291.65094313325102</v>
      </c>
      <c r="L701" s="35">
        <v>365.61306409746504</v>
      </c>
    </row>
    <row r="702" spans="1:12">
      <c r="A702" s="35">
        <v>240.76531216512012</v>
      </c>
      <c r="B702" s="35">
        <v>262.22891331932988</v>
      </c>
      <c r="C702" s="35">
        <v>246.7602520850518</v>
      </c>
      <c r="D702" s="35">
        <v>249.33242400767787</v>
      </c>
      <c r="E702" s="35">
        <v>285.93379683721776</v>
      </c>
      <c r="F702" s="35">
        <v>250.81664894419987</v>
      </c>
      <c r="G702" s="35">
        <v>253.69705186803023</v>
      </c>
      <c r="H702" s="35">
        <v>248.71284360269578</v>
      </c>
      <c r="I702" s="35">
        <v>265.20181777525636</v>
      </c>
      <c r="J702" s="35">
        <v>295.98898856227771</v>
      </c>
      <c r="K702" s="35">
        <v>311.47527429705633</v>
      </c>
      <c r="L702" s="35">
        <v>372.33928329203428</v>
      </c>
    </row>
    <row r="703" spans="1:12">
      <c r="A703" s="35">
        <v>257.6374938681945</v>
      </c>
      <c r="B703" s="35">
        <v>264.40798380131446</v>
      </c>
      <c r="C703" s="35">
        <v>242.54269480589548</v>
      </c>
      <c r="D703" s="35">
        <v>246.71121580221671</v>
      </c>
      <c r="E703" s="35">
        <v>295.82186330709879</v>
      </c>
      <c r="F703" s="35">
        <v>252.86254702515674</v>
      </c>
      <c r="G703" s="35">
        <v>259.24253244853497</v>
      </c>
      <c r="H703" s="35">
        <v>267.49808007271758</v>
      </c>
      <c r="I703" s="35">
        <v>289.68295234215611</v>
      </c>
      <c r="J703" s="35">
        <v>325.64115154654621</v>
      </c>
      <c r="K703" s="35">
        <v>330.25877684994845</v>
      </c>
      <c r="L703" s="35">
        <v>393.76944509498861</v>
      </c>
    </row>
    <row r="704" spans="1:12">
      <c r="A704" s="35">
        <v>246.49997223232882</v>
      </c>
      <c r="B704" s="35">
        <v>271.89605287032646</v>
      </c>
      <c r="C704" s="35">
        <v>242.09549574956037</v>
      </c>
      <c r="D704" s="35">
        <v>257.29131444931568</v>
      </c>
      <c r="E704" s="35">
        <v>279.26296484684383</v>
      </c>
      <c r="F704" s="35">
        <v>248.88690421920063</v>
      </c>
      <c r="G704" s="35">
        <v>267.27356576872086</v>
      </c>
      <c r="H704" s="35">
        <v>275.81102748852595</v>
      </c>
      <c r="I704" s="35">
        <v>284.09674619637912</v>
      </c>
      <c r="J704" s="35">
        <v>306.71417960922071</v>
      </c>
      <c r="K704" s="35">
        <v>319.31650608948121</v>
      </c>
      <c r="L704" s="35">
        <v>362.71241656233997</v>
      </c>
    </row>
    <row r="705" spans="1:12">
      <c r="A705" s="35">
        <v>239.29678871713958</v>
      </c>
      <c r="B705" s="35">
        <v>252.20048237944022</v>
      </c>
      <c r="C705" s="35">
        <v>250.07055911810244</v>
      </c>
      <c r="D705" s="35">
        <v>238.32147773374342</v>
      </c>
      <c r="E705" s="35">
        <v>267.39001832249767</v>
      </c>
      <c r="F705" s="35">
        <v>246.42459254574783</v>
      </c>
      <c r="G705" s="35">
        <v>262.11686191586131</v>
      </c>
      <c r="H705" s="35">
        <v>238.49952461010901</v>
      </c>
      <c r="I705" s="35">
        <v>261.37223882908859</v>
      </c>
      <c r="J705" s="35">
        <v>285.65616174752341</v>
      </c>
      <c r="K705" s="35">
        <v>291.27884219881651</v>
      </c>
      <c r="L705" s="35">
        <v>334.66002544314347</v>
      </c>
    </row>
    <row r="706" spans="1:12">
      <c r="A706" s="35">
        <v>227.57212438882772</v>
      </c>
      <c r="B706" s="35">
        <v>235.82576545214519</v>
      </c>
      <c r="C706" s="35">
        <v>245.0711521626794</v>
      </c>
      <c r="D706" s="35">
        <v>234.47347767609557</v>
      </c>
      <c r="E706" s="35">
        <v>287.66321743156919</v>
      </c>
      <c r="F706" s="35">
        <v>244.94426532758223</v>
      </c>
      <c r="G706" s="35">
        <v>257.91961835408938</v>
      </c>
      <c r="H706" s="35">
        <v>261.85584612629697</v>
      </c>
      <c r="I706" s="35">
        <v>305.20350425044433</v>
      </c>
      <c r="J706" s="35">
        <v>302.66262123397382</v>
      </c>
      <c r="K706" s="35">
        <v>307.63282023040767</v>
      </c>
      <c r="L706" s="35">
        <v>374.98583922880084</v>
      </c>
    </row>
    <row r="707" spans="1:12">
      <c r="A707" s="35">
        <v>243.83685588878527</v>
      </c>
      <c r="B707" s="35">
        <v>284.43845686117743</v>
      </c>
      <c r="C707" s="35">
        <v>262.52669473841053</v>
      </c>
      <c r="D707" s="35">
        <v>247.05178760980942</v>
      </c>
      <c r="E707" s="35">
        <v>306.77473674656727</v>
      </c>
      <c r="F707" s="35">
        <v>267.45010365127075</v>
      </c>
      <c r="G707" s="35">
        <v>271.26969620973159</v>
      </c>
      <c r="H707" s="35">
        <v>294.8647739112194</v>
      </c>
      <c r="I707" s="35">
        <v>325.8568976010971</v>
      </c>
      <c r="J707" s="35">
        <v>346.44640762227323</v>
      </c>
      <c r="K707" s="35">
        <v>361.47976363780242</v>
      </c>
      <c r="L707" s="35">
        <v>443.52510634934589</v>
      </c>
    </row>
    <row r="708" spans="1:12">
      <c r="A708" s="35">
        <v>259.2965627093763</v>
      </c>
      <c r="B708" s="35">
        <v>271.01940769394866</v>
      </c>
      <c r="C708" s="35">
        <v>237.51156660061253</v>
      </c>
      <c r="D708" s="35">
        <v>241.25908196506478</v>
      </c>
      <c r="E708" s="35">
        <v>292.01807777425438</v>
      </c>
      <c r="F708" s="35">
        <v>259.13135029548715</v>
      </c>
      <c r="G708" s="35">
        <v>262.25155050082634</v>
      </c>
      <c r="H708" s="35">
        <v>276.81175614796888</v>
      </c>
      <c r="I708" s="35">
        <v>308.82773285254348</v>
      </c>
      <c r="J708" s="35">
        <v>323.6310725523345</v>
      </c>
      <c r="K708" s="35">
        <v>332.62719810050265</v>
      </c>
      <c r="L708" s="35">
        <v>385.05091030369147</v>
      </c>
    </row>
    <row r="709" spans="1:12">
      <c r="A709" s="35">
        <v>229.02310377392726</v>
      </c>
      <c r="B709" s="35">
        <v>237.63887892023919</v>
      </c>
      <c r="C709" s="35">
        <v>234.23595539191757</v>
      </c>
      <c r="D709" s="35">
        <v>224.39693109027434</v>
      </c>
      <c r="E709" s="35">
        <v>258.8007073991505</v>
      </c>
      <c r="F709" s="35">
        <v>232.53852123076592</v>
      </c>
      <c r="G709" s="35">
        <v>237.06692770926435</v>
      </c>
      <c r="H709" s="35">
        <v>231.46426988722123</v>
      </c>
      <c r="I709" s="35">
        <v>259.42491318009945</v>
      </c>
      <c r="J709" s="35">
        <v>271.13395484197179</v>
      </c>
      <c r="K709" s="35">
        <v>274.36790977558826</v>
      </c>
      <c r="L709" s="35">
        <v>328.02404535241072</v>
      </c>
    </row>
    <row r="710" spans="1:12">
      <c r="A710" s="35">
        <v>243.03984555498408</v>
      </c>
      <c r="B710" s="35">
        <v>261.06541530083297</v>
      </c>
      <c r="C710" s="35">
        <v>215.62425390773757</v>
      </c>
      <c r="D710" s="35">
        <v>226.25763283399473</v>
      </c>
      <c r="E710" s="35">
        <v>279.42040874886357</v>
      </c>
      <c r="F710" s="35">
        <v>242.02685803961464</v>
      </c>
      <c r="G710" s="35">
        <v>252.30755724554814</v>
      </c>
      <c r="H710" s="35">
        <v>256.20072202137982</v>
      </c>
      <c r="I710" s="35">
        <v>266.14031761126347</v>
      </c>
      <c r="J710" s="35">
        <v>295.47564797245013</v>
      </c>
      <c r="K710" s="35">
        <v>316.13317274565219</v>
      </c>
      <c r="L710" s="35">
        <v>375.90543049902902</v>
      </c>
    </row>
    <row r="711" spans="1:12">
      <c r="A711" s="35">
        <v>247.35735068078748</v>
      </c>
      <c r="B711" s="35">
        <v>268.60247814671686</v>
      </c>
      <c r="C711" s="35">
        <v>238.60475105310309</v>
      </c>
      <c r="D711" s="35">
        <v>223.82351532794721</v>
      </c>
      <c r="E711" s="35">
        <v>274.00191529195718</v>
      </c>
      <c r="F711" s="35">
        <v>250.44210847424534</v>
      </c>
      <c r="G711" s="35">
        <v>249.36528447688127</v>
      </c>
      <c r="H711" s="35">
        <v>264.71418634307008</v>
      </c>
      <c r="I711" s="35">
        <v>285.0110606492147</v>
      </c>
      <c r="J711" s="35">
        <v>288.64209546798929</v>
      </c>
      <c r="K711" s="35">
        <v>291.89951809356262</v>
      </c>
      <c r="L711" s="35">
        <v>338.59432607544676</v>
      </c>
    </row>
    <row r="712" spans="1:12">
      <c r="A712" s="35">
        <v>243.67580599192732</v>
      </c>
      <c r="B712" s="35">
        <v>263.67975897909162</v>
      </c>
      <c r="C712" s="35">
        <v>266.74733005999553</v>
      </c>
      <c r="D712" s="35">
        <v>240.84265988335002</v>
      </c>
      <c r="E712" s="35">
        <v>292.9944438881887</v>
      </c>
      <c r="F712" s="35">
        <v>260.10922901998157</v>
      </c>
      <c r="G712" s="35">
        <v>291.77614854783775</v>
      </c>
      <c r="H712" s="35">
        <v>283.13164659206666</v>
      </c>
      <c r="I712" s="35">
        <v>308.89111302398589</v>
      </c>
      <c r="J712" s="35">
        <v>330.71209120490732</v>
      </c>
      <c r="K712" s="35">
        <v>353.09261948708854</v>
      </c>
      <c r="L712" s="35">
        <v>410.82703109649469</v>
      </c>
    </row>
    <row r="713" spans="1:12">
      <c r="A713" s="35">
        <v>238.88206802992562</v>
      </c>
      <c r="B713" s="35">
        <v>290.55908838680227</v>
      </c>
      <c r="C713" s="35">
        <v>267.34990839709167</v>
      </c>
      <c r="D713" s="35">
        <v>255.82656984369285</v>
      </c>
      <c r="E713" s="35">
        <v>292.52721737509381</v>
      </c>
      <c r="F713" s="35">
        <v>261.96142160913166</v>
      </c>
      <c r="G713" s="35">
        <v>279.30029095942388</v>
      </c>
      <c r="H713" s="35">
        <v>282.35445400437936</v>
      </c>
      <c r="I713" s="35">
        <v>312.0989301328438</v>
      </c>
      <c r="J713" s="35">
        <v>335.2127055803324</v>
      </c>
      <c r="K713" s="35">
        <v>340.5454218948048</v>
      </c>
      <c r="L713" s="35">
        <v>389.96568831270821</v>
      </c>
    </row>
    <row r="714" spans="1:12">
      <c r="A714" s="35">
        <v>258.93640990265919</v>
      </c>
      <c r="B714" s="35">
        <v>273.06780802589054</v>
      </c>
      <c r="C714" s="35">
        <v>246.38115562006956</v>
      </c>
      <c r="D714" s="35">
        <v>224.90660997660547</v>
      </c>
      <c r="E714" s="35">
        <v>283.99723999446667</v>
      </c>
      <c r="F714" s="35">
        <v>251.34354936395144</v>
      </c>
      <c r="G714" s="35">
        <v>250.10592134128663</v>
      </c>
      <c r="H714" s="35">
        <v>261.1477878485598</v>
      </c>
      <c r="I714" s="35">
        <v>285.34908560224699</v>
      </c>
      <c r="J714" s="35">
        <v>292.01146200794869</v>
      </c>
      <c r="K714" s="35">
        <v>305.62972749595406</v>
      </c>
      <c r="L714" s="35">
        <v>364.42886743694993</v>
      </c>
    </row>
    <row r="715" spans="1:12">
      <c r="A715" s="35">
        <v>237.29393711153094</v>
      </c>
      <c r="B715" s="35">
        <v>262.56391950566456</v>
      </c>
      <c r="C715" s="35">
        <v>245.18604550778136</v>
      </c>
      <c r="D715" s="35">
        <v>234.78364464539709</v>
      </c>
      <c r="E715" s="35">
        <v>258.99061747944802</v>
      </c>
      <c r="F715" s="35">
        <v>245.59469311536182</v>
      </c>
      <c r="G715" s="35">
        <v>261.94118846034661</v>
      </c>
      <c r="H715" s="35">
        <v>230.84296184068998</v>
      </c>
      <c r="I715" s="35">
        <v>283.38044427864878</v>
      </c>
      <c r="J715" s="35">
        <v>281.68936038919583</v>
      </c>
      <c r="K715" s="35">
        <v>297.87382738815626</v>
      </c>
      <c r="L715" s="35">
        <v>351.50606174642706</v>
      </c>
    </row>
    <row r="716" spans="1:12">
      <c r="A716" s="35">
        <v>235.06056382626011</v>
      </c>
      <c r="B716" s="35">
        <v>257.83774165432266</v>
      </c>
      <c r="C716" s="35">
        <v>252.20708309473156</v>
      </c>
      <c r="D716" s="35">
        <v>206.48810235747405</v>
      </c>
      <c r="E716" s="35">
        <v>265.58178086071763</v>
      </c>
      <c r="F716" s="35">
        <v>232.1059603632215</v>
      </c>
      <c r="G716" s="35">
        <v>245.81646407884205</v>
      </c>
      <c r="H716" s="35">
        <v>266.10262982249787</v>
      </c>
      <c r="I716" s="35">
        <v>272.65251665614596</v>
      </c>
      <c r="J716" s="35">
        <v>306.3834479714285</v>
      </c>
      <c r="K716" s="35">
        <v>316.89159974754119</v>
      </c>
      <c r="L716" s="35">
        <v>356.41172266065348</v>
      </c>
    </row>
    <row r="717" spans="1:12">
      <c r="A717" s="35">
        <v>234.79170978248709</v>
      </c>
      <c r="B717" s="35">
        <v>265.0231560314632</v>
      </c>
      <c r="C717" s="35">
        <v>217.26682661607043</v>
      </c>
      <c r="D717" s="35">
        <v>252.74649670348103</v>
      </c>
      <c r="E717" s="35">
        <v>280.87192907607454</v>
      </c>
      <c r="F717" s="35">
        <v>270.24139140222394</v>
      </c>
      <c r="G717" s="35">
        <v>270.06674159033582</v>
      </c>
      <c r="H717" s="35">
        <v>266.92219279070343</v>
      </c>
      <c r="I717" s="35">
        <v>289.84190559804421</v>
      </c>
      <c r="J717" s="35">
        <v>318.38356019779735</v>
      </c>
      <c r="K717" s="35">
        <v>329.37901707712865</v>
      </c>
      <c r="L717" s="35">
        <v>395.1477061748659</v>
      </c>
    </row>
    <row r="718" spans="1:12">
      <c r="A718" s="35">
        <v>244.46716950884991</v>
      </c>
      <c r="B718" s="35">
        <v>269.47713193636093</v>
      </c>
      <c r="C718" s="35">
        <v>245.52965459572189</v>
      </c>
      <c r="D718" s="35">
        <v>244.65389569788047</v>
      </c>
      <c r="E718" s="35">
        <v>295.23243122348993</v>
      </c>
      <c r="F718" s="35">
        <v>261.22693244211524</v>
      </c>
      <c r="G718" s="35">
        <v>291.15990506840359</v>
      </c>
      <c r="H718" s="35">
        <v>307.48662998839376</v>
      </c>
      <c r="I718" s="35">
        <v>312.19549688705678</v>
      </c>
      <c r="J718" s="35">
        <v>365.91215298562173</v>
      </c>
      <c r="K718" s="35">
        <v>381.86972191319109</v>
      </c>
      <c r="L718" s="35">
        <v>437.23529336852636</v>
      </c>
    </row>
    <row r="719" spans="1:12">
      <c r="A719" s="35">
        <v>227.23777513790014</v>
      </c>
      <c r="B719" s="35">
        <v>244.18769066713475</v>
      </c>
      <c r="C719" s="35">
        <v>236.95495632568981</v>
      </c>
      <c r="D719" s="35">
        <v>226.93293323730384</v>
      </c>
      <c r="E719" s="35">
        <v>253.71036098332186</v>
      </c>
      <c r="F719" s="35">
        <v>225.11577740904823</v>
      </c>
      <c r="G719" s="35">
        <v>233.29756424711272</v>
      </c>
      <c r="H719" s="35">
        <v>236.41738521737776</v>
      </c>
      <c r="I719" s="35">
        <v>255.97922795671863</v>
      </c>
      <c r="J719" s="35">
        <v>251.59407908838597</v>
      </c>
      <c r="K719" s="35">
        <v>268.15373478503341</v>
      </c>
      <c r="L719" s="35">
        <v>314.3492078036457</v>
      </c>
    </row>
    <row r="720" spans="1:12">
      <c r="A720" s="35">
        <v>228.63936536333327</v>
      </c>
      <c r="B720" s="35">
        <v>244.57475460609049</v>
      </c>
      <c r="C720" s="35">
        <v>227.90878691372063</v>
      </c>
      <c r="D720" s="35">
        <v>219.26832870037524</v>
      </c>
      <c r="E720" s="35">
        <v>252.87205207238938</v>
      </c>
      <c r="F720" s="35">
        <v>234.12775666803898</v>
      </c>
      <c r="G720" s="35">
        <v>243.45246818361917</v>
      </c>
      <c r="H720" s="35">
        <v>242.74296408449274</v>
      </c>
      <c r="I720" s="35">
        <v>273.49445672733918</v>
      </c>
      <c r="J720" s="35">
        <v>279.93425402770504</v>
      </c>
      <c r="K720" s="35">
        <v>304.57029940480248</v>
      </c>
      <c r="L720" s="35">
        <v>347.47162193757271</v>
      </c>
    </row>
    <row r="721" spans="1:12">
      <c r="A721" s="35">
        <v>239.7910194042008</v>
      </c>
      <c r="B721" s="35">
        <v>281.54037985720714</v>
      </c>
      <c r="C721" s="35">
        <v>245.96998528475669</v>
      </c>
      <c r="D721" s="35">
        <v>238.69931799851852</v>
      </c>
      <c r="E721" s="35">
        <v>279.30625146891254</v>
      </c>
      <c r="F721" s="35">
        <v>232.35457776571866</v>
      </c>
      <c r="G721" s="35">
        <v>255.48896780318304</v>
      </c>
      <c r="H721" s="35">
        <v>238.13225777602545</v>
      </c>
      <c r="I721" s="35">
        <v>255.66505675058235</v>
      </c>
      <c r="J721" s="35">
        <v>286.78457318255477</v>
      </c>
      <c r="K721" s="35">
        <v>304.24185691011712</v>
      </c>
      <c r="L721" s="35">
        <v>352.13497069534475</v>
      </c>
    </row>
    <row r="722" spans="1:12">
      <c r="A722" s="35">
        <v>240.47127371648736</v>
      </c>
      <c r="B722" s="35">
        <v>270.74029937536858</v>
      </c>
      <c r="C722" s="35">
        <v>255.53303740333411</v>
      </c>
      <c r="D722" s="35">
        <v>245.03053707622311</v>
      </c>
      <c r="E722" s="35">
        <v>274.84752210666818</v>
      </c>
      <c r="F722" s="35">
        <v>234.26437290670796</v>
      </c>
      <c r="G722" s="35">
        <v>246.32594400178519</v>
      </c>
      <c r="H722" s="35">
        <v>236.78741365177171</v>
      </c>
      <c r="I722" s="35">
        <v>269.25437958397731</v>
      </c>
      <c r="J722" s="35">
        <v>273.45764040547994</v>
      </c>
      <c r="K722" s="35">
        <v>284.30642674450627</v>
      </c>
      <c r="L722" s="35">
        <v>327.5470778614702</v>
      </c>
    </row>
    <row r="723" spans="1:12">
      <c r="A723" s="35">
        <v>258.38880249377604</v>
      </c>
      <c r="B723" s="35">
        <v>259.68155322598335</v>
      </c>
      <c r="C723" s="35">
        <v>254.01536206069383</v>
      </c>
      <c r="D723" s="35">
        <v>258.43833254722449</v>
      </c>
      <c r="E723" s="35">
        <v>301.81520273928618</v>
      </c>
      <c r="F723" s="35">
        <v>279.1000021126124</v>
      </c>
      <c r="G723" s="35">
        <v>278.2781362143524</v>
      </c>
      <c r="H723" s="35">
        <v>289.71347587191866</v>
      </c>
      <c r="I723" s="35">
        <v>308.95996371742268</v>
      </c>
      <c r="J723" s="35">
        <v>341.65059872462336</v>
      </c>
      <c r="K723" s="35">
        <v>346.14721492810389</v>
      </c>
      <c r="L723" s="35">
        <v>412.02636257978088</v>
      </c>
    </row>
    <row r="724" spans="1:12">
      <c r="A724" s="35">
        <v>238.06463257588894</v>
      </c>
      <c r="B724" s="35">
        <v>254.08949038899505</v>
      </c>
      <c r="C724" s="35">
        <v>246.8125230499968</v>
      </c>
      <c r="D724" s="35">
        <v>230.13371146888036</v>
      </c>
      <c r="E724" s="35">
        <v>273.32117351594218</v>
      </c>
      <c r="F724" s="35">
        <v>239.67996321892505</v>
      </c>
      <c r="G724" s="35">
        <v>250.3213929703266</v>
      </c>
      <c r="H724" s="35">
        <v>246.15934456694058</v>
      </c>
      <c r="I724" s="35">
        <v>259.72117045614516</v>
      </c>
      <c r="J724" s="35">
        <v>289.65343561656135</v>
      </c>
      <c r="K724" s="35">
        <v>283.51538453263794</v>
      </c>
      <c r="L724" s="35">
        <v>314.03912607162817</v>
      </c>
    </row>
    <row r="725" spans="1:12">
      <c r="A725" s="35">
        <v>229.67355753152498</v>
      </c>
      <c r="B725" s="35">
        <v>245.86777216756707</v>
      </c>
      <c r="C725" s="35">
        <v>229.45462382985346</v>
      </c>
      <c r="D725" s="35">
        <v>228.56232948379088</v>
      </c>
      <c r="E725" s="35">
        <v>284.98185412168129</v>
      </c>
      <c r="F725" s="35">
        <v>208.0830544200021</v>
      </c>
      <c r="G725" s="35">
        <v>219.12969012553037</v>
      </c>
      <c r="H725" s="35">
        <v>226.54051323297639</v>
      </c>
      <c r="I725" s="35">
        <v>254.96489664570436</v>
      </c>
      <c r="J725" s="35">
        <v>262.02021793874741</v>
      </c>
      <c r="K725" s="35">
        <v>264.4728479361579</v>
      </c>
      <c r="L725" s="35">
        <v>316.80691257305915</v>
      </c>
    </row>
    <row r="726" spans="1:12">
      <c r="A726" s="35">
        <v>239.44552491431187</v>
      </c>
      <c r="B726" s="35">
        <v>272.95547479457429</v>
      </c>
      <c r="C726" s="35">
        <v>244.4466245118569</v>
      </c>
      <c r="D726" s="35">
        <v>227.67099765630991</v>
      </c>
      <c r="E726" s="35">
        <v>269.44232934103206</v>
      </c>
      <c r="F726" s="35">
        <v>252.20140716678827</v>
      </c>
      <c r="G726" s="35">
        <v>258.34924361001595</v>
      </c>
      <c r="H726" s="35">
        <v>260.72583448005554</v>
      </c>
      <c r="I726" s="35">
        <v>266.62770196581482</v>
      </c>
      <c r="J726" s="35">
        <v>296.10283336305685</v>
      </c>
      <c r="K726" s="35">
        <v>306.64106250410867</v>
      </c>
      <c r="L726" s="35">
        <v>352.14179806479245</v>
      </c>
    </row>
    <row r="727" spans="1:12">
      <c r="A727" s="35">
        <v>229.80676903150686</v>
      </c>
      <c r="B727" s="35">
        <v>268.65188014600159</v>
      </c>
      <c r="C727" s="35">
        <v>220.83548719846451</v>
      </c>
      <c r="D727" s="35">
        <v>226.69726617409503</v>
      </c>
      <c r="E727" s="35">
        <v>264.73784908005666</v>
      </c>
      <c r="F727" s="35">
        <v>248.40722952493044</v>
      </c>
      <c r="G727" s="35">
        <v>246.88258349672174</v>
      </c>
      <c r="H727" s="35">
        <v>275.20317858822619</v>
      </c>
      <c r="I727" s="35">
        <v>283.12535726136531</v>
      </c>
      <c r="J727" s="35">
        <v>311.88812068914751</v>
      </c>
      <c r="K727" s="35">
        <v>296.43884687785328</v>
      </c>
      <c r="L727" s="35">
        <v>373.68640235807209</v>
      </c>
    </row>
    <row r="728" spans="1:12">
      <c r="A728" s="35">
        <v>250.80934790979873</v>
      </c>
      <c r="B728" s="35">
        <v>280.40166641857354</v>
      </c>
      <c r="C728" s="35">
        <v>253.78044578092349</v>
      </c>
      <c r="D728" s="35">
        <v>253.07144838237872</v>
      </c>
      <c r="E728" s="35">
        <v>276.66331383578813</v>
      </c>
      <c r="F728" s="35">
        <v>250.98809099707933</v>
      </c>
      <c r="G728" s="35">
        <v>266.43430768830552</v>
      </c>
      <c r="H728" s="35">
        <v>274.62097416018918</v>
      </c>
      <c r="I728" s="35">
        <v>297.98785308161695</v>
      </c>
      <c r="J728" s="35">
        <v>321.47986741126209</v>
      </c>
      <c r="K728" s="35">
        <v>341.79530464173843</v>
      </c>
      <c r="L728" s="35">
        <v>395.2524732784338</v>
      </c>
    </row>
    <row r="729" spans="1:12">
      <c r="A729" s="35">
        <v>239.22755592094356</v>
      </c>
      <c r="B729" s="35">
        <v>263.14535287625466</v>
      </c>
      <c r="C729" s="35">
        <v>240.40525092132333</v>
      </c>
      <c r="D729" s="35">
        <v>227.48720903294475</v>
      </c>
      <c r="E729" s="35">
        <v>276.73144408956011</v>
      </c>
      <c r="F729" s="35">
        <v>253.69819655003027</v>
      </c>
      <c r="G729" s="35">
        <v>247.88331174991814</v>
      </c>
      <c r="H729" s="35">
        <v>242.82048251283422</v>
      </c>
      <c r="I729" s="35">
        <v>273.91852272538341</v>
      </c>
      <c r="J729" s="35">
        <v>276.67356229665069</v>
      </c>
      <c r="K729" s="35">
        <v>281.93622912800436</v>
      </c>
      <c r="L729" s="35">
        <v>333.01103356704891</v>
      </c>
    </row>
    <row r="730" spans="1:12">
      <c r="A730" s="35">
        <v>226.97544653965377</v>
      </c>
      <c r="B730" s="35">
        <v>252.00195737575856</v>
      </c>
      <c r="C730" s="35">
        <v>227.65539882552889</v>
      </c>
      <c r="D730" s="35">
        <v>226.43358804475545</v>
      </c>
      <c r="E730" s="35">
        <v>276.36718699040534</v>
      </c>
      <c r="F730" s="35">
        <v>235.09741343081018</v>
      </c>
      <c r="G730" s="35">
        <v>236.59707714364831</v>
      </c>
      <c r="H730" s="35">
        <v>255.8315038908552</v>
      </c>
      <c r="I730" s="35">
        <v>254.59438730223533</v>
      </c>
      <c r="J730" s="35">
        <v>275.22192200452804</v>
      </c>
      <c r="K730" s="35">
        <v>273.85594760931866</v>
      </c>
      <c r="L730" s="35">
        <v>337.05279439768799</v>
      </c>
    </row>
    <row r="731" spans="1:12">
      <c r="A731" s="35">
        <v>238.38175512996293</v>
      </c>
      <c r="B731" s="35">
        <v>269.90652989809695</v>
      </c>
      <c r="C731" s="35">
        <v>256.2541766917218</v>
      </c>
      <c r="D731" s="35">
        <v>257.72015733087858</v>
      </c>
      <c r="E731" s="35">
        <v>300.79514153579186</v>
      </c>
      <c r="F731" s="35">
        <v>266.58367515054107</v>
      </c>
      <c r="G731" s="35">
        <v>267.42524322048331</v>
      </c>
      <c r="H731" s="35">
        <v>269.28534722244603</v>
      </c>
      <c r="I731" s="35">
        <v>298.768309852897</v>
      </c>
      <c r="J731" s="35">
        <v>323.82794413161417</v>
      </c>
      <c r="K731" s="35">
        <v>333.5095309570338</v>
      </c>
      <c r="L731" s="35">
        <v>386.67927288529273</v>
      </c>
    </row>
    <row r="732" spans="1:12">
      <c r="A732" s="35">
        <v>226.46705865015895</v>
      </c>
      <c r="B732" s="35">
        <v>271.3600948938344</v>
      </c>
      <c r="C732" s="35">
        <v>229.92434866712725</v>
      </c>
      <c r="D732" s="35">
        <v>233.44574440251799</v>
      </c>
      <c r="E732" s="35">
        <v>285.98900244348658</v>
      </c>
      <c r="F732" s="35">
        <v>266.01213299281159</v>
      </c>
      <c r="G732" s="35">
        <v>275.47235732702921</v>
      </c>
      <c r="H732" s="35">
        <v>288.84424791486333</v>
      </c>
      <c r="I732" s="35">
        <v>304.10205080510514</v>
      </c>
      <c r="J732" s="35">
        <v>332.58482086709904</v>
      </c>
      <c r="K732" s="35">
        <v>343.91790138545446</v>
      </c>
      <c r="L732" s="35">
        <v>417.26122523517859</v>
      </c>
    </row>
    <row r="733" spans="1:12">
      <c r="A733" s="35">
        <v>244.71988163008376</v>
      </c>
      <c r="B733" s="35">
        <v>260.26364071980601</v>
      </c>
      <c r="C733" s="35">
        <v>252.85751367827984</v>
      </c>
      <c r="D733" s="35">
        <v>245.45809420374121</v>
      </c>
      <c r="E733" s="35">
        <v>287.42963819827065</v>
      </c>
      <c r="F733" s="35">
        <v>268.8616453389871</v>
      </c>
      <c r="G733" s="35">
        <v>269.61186683076221</v>
      </c>
      <c r="H733" s="35">
        <v>292.1518441166678</v>
      </c>
      <c r="I733" s="35">
        <v>327.80958538166976</v>
      </c>
      <c r="J733" s="35">
        <v>326.905340359148</v>
      </c>
      <c r="K733" s="35">
        <v>342.50514727092104</v>
      </c>
      <c r="L733" s="35">
        <v>404.5565586043013</v>
      </c>
    </row>
    <row r="734" spans="1:12">
      <c r="A734" s="35">
        <v>249.54052920531575</v>
      </c>
      <c r="B734" s="35">
        <v>256.88174565647859</v>
      </c>
      <c r="C734" s="35">
        <v>251.44920605885625</v>
      </c>
      <c r="D734" s="35">
        <v>257.95775426172662</v>
      </c>
      <c r="E734" s="35">
        <v>298.08844087434665</v>
      </c>
      <c r="F734" s="35">
        <v>278.83248891501034</v>
      </c>
      <c r="G734" s="35">
        <v>289.68466427394372</v>
      </c>
      <c r="H734" s="35">
        <v>279.75877600065741</v>
      </c>
      <c r="I734" s="35">
        <v>330.13281461327233</v>
      </c>
      <c r="J734" s="35">
        <v>334.43050552404833</v>
      </c>
      <c r="K734" s="35">
        <v>367.80365035896239</v>
      </c>
      <c r="L734" s="35">
        <v>428.43398125179647</v>
      </c>
    </row>
    <row r="735" spans="1:12">
      <c r="A735" s="35">
        <v>234.91322519750088</v>
      </c>
      <c r="B735" s="35">
        <v>254.93778036917726</v>
      </c>
      <c r="C735" s="35">
        <v>217.41345079420512</v>
      </c>
      <c r="D735" s="35">
        <v>240.86325027235424</v>
      </c>
      <c r="E735" s="35">
        <v>265.07919137623657</v>
      </c>
      <c r="F735" s="35">
        <v>238.38879934959652</v>
      </c>
      <c r="G735" s="35">
        <v>231.58042447285942</v>
      </c>
      <c r="H735" s="35">
        <v>243.60496315590296</v>
      </c>
      <c r="I735" s="35">
        <v>262.3013988728016</v>
      </c>
      <c r="J735" s="35">
        <v>263.40479094938775</v>
      </c>
      <c r="K735" s="35">
        <v>263.6386670942735</v>
      </c>
      <c r="L735" s="35">
        <v>317.44554650287904</v>
      </c>
    </row>
    <row r="736" spans="1:12">
      <c r="A736" s="35">
        <v>233.54819127169779</v>
      </c>
      <c r="B736" s="35">
        <v>261.03504458374323</v>
      </c>
      <c r="C736" s="35">
        <v>216.44581034869924</v>
      </c>
      <c r="D736" s="35">
        <v>212.95728476963066</v>
      </c>
      <c r="E736" s="35">
        <v>246.11006832336813</v>
      </c>
      <c r="F736" s="35">
        <v>236.93131670247763</v>
      </c>
      <c r="G736" s="35">
        <v>221.08881101967026</v>
      </c>
      <c r="H736" s="35">
        <v>243.11416030913182</v>
      </c>
      <c r="I736" s="35">
        <v>220.13783954860668</v>
      </c>
      <c r="J736" s="35">
        <v>267.89869620158726</v>
      </c>
      <c r="K736" s="35">
        <v>287.54002845108897</v>
      </c>
      <c r="L736" s="35">
        <v>302.97269951718511</v>
      </c>
    </row>
    <row r="737" spans="1:12">
      <c r="A737" s="35">
        <v>249.68750320144153</v>
      </c>
      <c r="B737" s="35">
        <v>253.90839571331855</v>
      </c>
      <c r="C737" s="35">
        <v>245.46702391192511</v>
      </c>
      <c r="D737" s="35">
        <v>247.53874792250352</v>
      </c>
      <c r="E737" s="35">
        <v>271.91283274783666</v>
      </c>
      <c r="F737" s="35">
        <v>245.5598171042416</v>
      </c>
      <c r="G737" s="35">
        <v>252.74275435814894</v>
      </c>
      <c r="H737" s="35">
        <v>266.14409983964748</v>
      </c>
      <c r="I737" s="35">
        <v>283.58664916907765</v>
      </c>
      <c r="J737" s="35">
        <v>293.92255754260373</v>
      </c>
      <c r="K737" s="35">
        <v>309.460338803036</v>
      </c>
      <c r="L737" s="35">
        <v>356.94139042837492</v>
      </c>
    </row>
    <row r="738" spans="1:12">
      <c r="A738" s="35">
        <v>235.82241552477581</v>
      </c>
      <c r="B738" s="35">
        <v>260.22970944628941</v>
      </c>
      <c r="C738" s="35">
        <v>228.80837008259314</v>
      </c>
      <c r="D738" s="35">
        <v>234.48249049111919</v>
      </c>
      <c r="E738" s="35">
        <v>254.26312534778464</v>
      </c>
      <c r="F738" s="35">
        <v>218.94638985099598</v>
      </c>
      <c r="G738" s="35">
        <v>213.22031936808168</v>
      </c>
      <c r="H738" s="35">
        <v>234.35856471384133</v>
      </c>
      <c r="I738" s="35">
        <v>248.30887695131543</v>
      </c>
      <c r="J738" s="35">
        <v>265.50372800417091</v>
      </c>
      <c r="K738" s="35">
        <v>261.97957594300595</v>
      </c>
      <c r="L738" s="35">
        <v>290.22926439778405</v>
      </c>
    </row>
    <row r="739" spans="1:12">
      <c r="A739" s="35">
        <v>255.0460372101511</v>
      </c>
      <c r="B739" s="35">
        <v>271.8014795567621</v>
      </c>
      <c r="C739" s="35">
        <v>256.4542592308589</v>
      </c>
      <c r="D739" s="35">
        <v>244.76802313242646</v>
      </c>
      <c r="E739" s="35">
        <v>313.83716241326653</v>
      </c>
      <c r="F739" s="35">
        <v>270.22027507815267</v>
      </c>
      <c r="G739" s="35">
        <v>265.05343815870003</v>
      </c>
      <c r="H739" s="35">
        <v>303.62122713709022</v>
      </c>
      <c r="I739" s="35">
        <v>309.90248694203882</v>
      </c>
      <c r="J739" s="35">
        <v>311.58803689018112</v>
      </c>
      <c r="K739" s="35">
        <v>338.00645640999198</v>
      </c>
      <c r="L739" s="35">
        <v>407.66357262693924</v>
      </c>
    </row>
    <row r="740" spans="1:12">
      <c r="A740" s="35">
        <v>234.46354502141978</v>
      </c>
      <c r="B740" s="35">
        <v>234.93302666404949</v>
      </c>
      <c r="C740" s="35">
        <v>238.53916513016696</v>
      </c>
      <c r="D740" s="35">
        <v>225.09392094313162</v>
      </c>
      <c r="E740" s="35">
        <v>270.0074097624555</v>
      </c>
      <c r="F740" s="35">
        <v>230.61208305847038</v>
      </c>
      <c r="G740" s="35">
        <v>255.7755240998348</v>
      </c>
      <c r="H740" s="35">
        <v>254.87887631329613</v>
      </c>
      <c r="I740" s="35">
        <v>265.28639391636807</v>
      </c>
      <c r="J740" s="35">
        <v>262.4635256279152</v>
      </c>
      <c r="K740" s="35">
        <v>291.06413530480802</v>
      </c>
      <c r="L740" s="35">
        <v>326.23935609892322</v>
      </c>
    </row>
    <row r="741" spans="1:12">
      <c r="A741" s="35">
        <v>231.86665562277665</v>
      </c>
      <c r="B741" s="35">
        <v>257.99815768996706</v>
      </c>
      <c r="C741" s="35">
        <v>232.4514603889107</v>
      </c>
      <c r="D741" s="35">
        <v>259.20133132787419</v>
      </c>
      <c r="E741" s="35">
        <v>293.14966518520549</v>
      </c>
      <c r="F741" s="35">
        <v>271.34151455969999</v>
      </c>
      <c r="G741" s="35">
        <v>288.99895069356126</v>
      </c>
      <c r="H741" s="35">
        <v>298.51172797047997</v>
      </c>
      <c r="I741" s="35">
        <v>324.05022165437259</v>
      </c>
      <c r="J741" s="35">
        <v>341.40289046655158</v>
      </c>
      <c r="K741" s="35">
        <v>358.24295740323811</v>
      </c>
      <c r="L741" s="35">
        <v>440.82637963282218</v>
      </c>
    </row>
    <row r="742" spans="1:12">
      <c r="A742" s="35">
        <v>249.83874790913148</v>
      </c>
      <c r="B742" s="35">
        <v>257.4874232996263</v>
      </c>
      <c r="C742" s="35">
        <v>258.13023688657563</v>
      </c>
      <c r="D742" s="35">
        <v>236.84101217552595</v>
      </c>
      <c r="E742" s="35">
        <v>285.4418373484163</v>
      </c>
      <c r="F742" s="35">
        <v>269.38818748176038</v>
      </c>
      <c r="G742" s="35">
        <v>276.78423902826052</v>
      </c>
      <c r="H742" s="35">
        <v>290.69061033622859</v>
      </c>
      <c r="I742" s="35">
        <v>294.21366130629661</v>
      </c>
      <c r="J742" s="35">
        <v>324.33093299848656</v>
      </c>
      <c r="K742" s="35">
        <v>343.4927290614304</v>
      </c>
      <c r="L742" s="35">
        <v>400.48261247626209</v>
      </c>
    </row>
    <row r="743" spans="1:12">
      <c r="A743" s="35">
        <v>242.86846810685324</v>
      </c>
      <c r="B743" s="35">
        <v>281.32163928612408</v>
      </c>
      <c r="C743" s="35">
        <v>252.80257926027465</v>
      </c>
      <c r="D743" s="35">
        <v>244.72636402594944</v>
      </c>
      <c r="E743" s="35">
        <v>284.2051125557885</v>
      </c>
      <c r="F743" s="35">
        <v>254.17123393448711</v>
      </c>
      <c r="G743" s="35">
        <v>264.70699427976467</v>
      </c>
      <c r="H743" s="35">
        <v>279.29917340790576</v>
      </c>
      <c r="I743" s="35">
        <v>289.90355461036626</v>
      </c>
      <c r="J743" s="35">
        <v>305.64439076468898</v>
      </c>
      <c r="K743" s="35">
        <v>332.5697138738812</v>
      </c>
      <c r="L743" s="35">
        <v>382.84286610181005</v>
      </c>
    </row>
    <row r="744" spans="1:12">
      <c r="A744" s="35">
        <v>245.3761012079265</v>
      </c>
      <c r="B744" s="35">
        <v>257.01276677929002</v>
      </c>
      <c r="C744" s="35">
        <v>240.01311209498141</v>
      </c>
      <c r="D744" s="35">
        <v>242.27223993683174</v>
      </c>
      <c r="E744" s="35">
        <v>267.36997697066874</v>
      </c>
      <c r="F744" s="35">
        <v>237.32470173710763</v>
      </c>
      <c r="G744" s="35">
        <v>254.27104880918748</v>
      </c>
      <c r="H744" s="35">
        <v>265.67717932609986</v>
      </c>
      <c r="I744" s="35">
        <v>287.29032311284351</v>
      </c>
      <c r="J744" s="35">
        <v>307.46600941314227</v>
      </c>
      <c r="K744" s="35">
        <v>327.87707963480619</v>
      </c>
      <c r="L744" s="35">
        <v>371.432287724665</v>
      </c>
    </row>
    <row r="745" spans="1:12">
      <c r="A745" s="35">
        <v>229.83434398357275</v>
      </c>
      <c r="B745" s="35">
        <v>249.4645510483636</v>
      </c>
      <c r="C745" s="35">
        <v>222.36796691236665</v>
      </c>
      <c r="D745" s="35">
        <v>222.17739411436483</v>
      </c>
      <c r="E745" s="35">
        <v>255.46935879339554</v>
      </c>
      <c r="F745" s="35">
        <v>216.82580716293987</v>
      </c>
      <c r="G745" s="35">
        <v>220.08770122627038</v>
      </c>
      <c r="H745" s="35">
        <v>230.14384371001012</v>
      </c>
      <c r="I745" s="35">
        <v>255.00405641195664</v>
      </c>
      <c r="J745" s="35">
        <v>253.50248036649623</v>
      </c>
      <c r="K745" s="35">
        <v>268.92147114130273</v>
      </c>
      <c r="L745" s="35">
        <v>303.92254870850337</v>
      </c>
    </row>
    <row r="746" spans="1:12">
      <c r="A746" s="35">
        <v>252.74298377635409</v>
      </c>
      <c r="B746" s="35">
        <v>273.24565716832205</v>
      </c>
      <c r="C746" s="35">
        <v>242.40224923768642</v>
      </c>
      <c r="D746" s="35">
        <v>228.48015840365395</v>
      </c>
      <c r="E746" s="35">
        <v>254.82123582202215</v>
      </c>
      <c r="F746" s="35">
        <v>228.4364391690051</v>
      </c>
      <c r="G746" s="35">
        <v>244.40740422535669</v>
      </c>
      <c r="H746" s="35">
        <v>239.56420782627958</v>
      </c>
      <c r="I746" s="35">
        <v>280.21141820118748</v>
      </c>
      <c r="J746" s="35">
        <v>262.40644022348931</v>
      </c>
      <c r="K746" s="35">
        <v>272.80552281458694</v>
      </c>
      <c r="L746" s="35">
        <v>334.11070668444381</v>
      </c>
    </row>
    <row r="747" spans="1:12">
      <c r="A747" s="35">
        <v>234.91123779972102</v>
      </c>
      <c r="B747" s="35">
        <v>283.16587359109866</v>
      </c>
      <c r="C747" s="35">
        <v>235.3106416036338</v>
      </c>
      <c r="D747" s="35">
        <v>259.79232154583883</v>
      </c>
      <c r="E747" s="35">
        <v>290.6167844217656</v>
      </c>
      <c r="F747" s="35">
        <v>251.57417805142205</v>
      </c>
      <c r="G747" s="35">
        <v>245.19879996534618</v>
      </c>
      <c r="H747" s="35">
        <v>281.78656951120524</v>
      </c>
      <c r="I747" s="35">
        <v>284.18291708099474</v>
      </c>
      <c r="J747" s="35">
        <v>303.46279333597676</v>
      </c>
      <c r="K747" s="35">
        <v>323.1435259988632</v>
      </c>
      <c r="L747" s="35">
        <v>389.13654574298403</v>
      </c>
    </row>
    <row r="748" spans="1:12">
      <c r="A748" s="35">
        <v>236.61303927890185</v>
      </c>
      <c r="B748" s="35">
        <v>249.07864354005542</v>
      </c>
      <c r="C748" s="35">
        <v>231.91534699442789</v>
      </c>
      <c r="D748" s="35">
        <v>227.92764728659378</v>
      </c>
      <c r="E748" s="35">
        <v>276.29327359411468</v>
      </c>
      <c r="F748" s="35">
        <v>222.42923582326887</v>
      </c>
      <c r="G748" s="35">
        <v>231.24746281417919</v>
      </c>
      <c r="H748" s="35">
        <v>230.51606622479056</v>
      </c>
      <c r="I748" s="35">
        <v>264.92986843050846</v>
      </c>
      <c r="J748" s="35">
        <v>268.75429666764734</v>
      </c>
      <c r="K748" s="35">
        <v>286.06836390788476</v>
      </c>
      <c r="L748" s="35">
        <v>320.86411039666581</v>
      </c>
    </row>
    <row r="749" spans="1:12">
      <c r="A749" s="35">
        <v>235.07129931577751</v>
      </c>
      <c r="B749" s="35">
        <v>276.49145168772429</v>
      </c>
      <c r="C749" s="35">
        <v>262.30579245517328</v>
      </c>
      <c r="D749" s="35">
        <v>255.51333316181984</v>
      </c>
      <c r="E749" s="35">
        <v>289.96688543600072</v>
      </c>
      <c r="F749" s="35">
        <v>246.55193637248024</v>
      </c>
      <c r="G749" s="35">
        <v>261.05763814192704</v>
      </c>
      <c r="H749" s="35">
        <v>260.93339234552241</v>
      </c>
      <c r="I749" s="35">
        <v>285.15912472977425</v>
      </c>
      <c r="J749" s="35">
        <v>315.91058262236731</v>
      </c>
      <c r="K749" s="35">
        <v>336.97916151458355</v>
      </c>
      <c r="L749" s="35">
        <v>369.74932866199765</v>
      </c>
    </row>
    <row r="750" spans="1:12">
      <c r="A750" s="35">
        <v>241.37866301680393</v>
      </c>
      <c r="B750" s="35">
        <v>251.56956890427406</v>
      </c>
      <c r="C750" s="35">
        <v>245.48695911477569</v>
      </c>
      <c r="D750" s="35">
        <v>238.96353243103096</v>
      </c>
      <c r="E750" s="35">
        <v>286.24056448613999</v>
      </c>
      <c r="F750" s="35">
        <v>247.39008693848683</v>
      </c>
      <c r="G750" s="35">
        <v>255.48598805858566</v>
      </c>
      <c r="H750" s="35">
        <v>279.44471860859926</v>
      </c>
      <c r="I750" s="35">
        <v>275.23034319932361</v>
      </c>
      <c r="J750" s="35">
        <v>280.86144393646532</v>
      </c>
      <c r="K750" s="35">
        <v>324.36264213365178</v>
      </c>
      <c r="L750" s="35">
        <v>359.13972917100358</v>
      </c>
    </row>
    <row r="751" spans="1:12">
      <c r="A751" s="35">
        <v>248.09061655208012</v>
      </c>
      <c r="B751" s="35">
        <v>271.34026987353383</v>
      </c>
      <c r="C751" s="35">
        <v>230.7140048052805</v>
      </c>
      <c r="D751" s="35">
        <v>231.61548296249356</v>
      </c>
      <c r="E751" s="35">
        <v>265.58027774965831</v>
      </c>
      <c r="F751" s="35">
        <v>241.65388347382299</v>
      </c>
      <c r="G751" s="35">
        <v>231.71019938432747</v>
      </c>
      <c r="H751" s="35">
        <v>258.77393687093706</v>
      </c>
      <c r="I751" s="35">
        <v>277.66007493820894</v>
      </c>
      <c r="J751" s="35">
        <v>262.56842658137907</v>
      </c>
      <c r="K751" s="35">
        <v>310.64192174663509</v>
      </c>
      <c r="L751" s="35">
        <v>347.77478520125737</v>
      </c>
    </row>
    <row r="752" spans="1:12">
      <c r="A752" s="35">
        <v>256.7944591133338</v>
      </c>
      <c r="B752" s="35">
        <v>281.37433540602223</v>
      </c>
      <c r="C752" s="35">
        <v>252.20426961230848</v>
      </c>
      <c r="D752" s="35">
        <v>249.13592662777467</v>
      </c>
      <c r="E752" s="35">
        <v>276.12629257519944</v>
      </c>
      <c r="F752" s="35">
        <v>261.27294416399633</v>
      </c>
      <c r="G752" s="35">
        <v>276.87578082983867</v>
      </c>
      <c r="H752" s="35">
        <v>271.15505069443168</v>
      </c>
      <c r="I752" s="35">
        <v>312.47714091779955</v>
      </c>
      <c r="J752" s="35">
        <v>332.81989948606292</v>
      </c>
      <c r="K752" s="35">
        <v>324.37889153447622</v>
      </c>
      <c r="L752" s="35">
        <v>399.36008829305052</v>
      </c>
    </row>
    <row r="753" spans="1:12">
      <c r="A753" s="35">
        <v>230.5833868766278</v>
      </c>
      <c r="B753" s="35">
        <v>251.03206600330947</v>
      </c>
      <c r="C753" s="35">
        <v>233.55290755583556</v>
      </c>
      <c r="D753" s="35">
        <v>224.4887755013126</v>
      </c>
      <c r="E753" s="35">
        <v>269.91362513716751</v>
      </c>
      <c r="F753" s="35">
        <v>232.05319394067413</v>
      </c>
      <c r="G753" s="35">
        <v>227.92577531385058</v>
      </c>
      <c r="H753" s="35">
        <v>240.88252152323767</v>
      </c>
      <c r="I753" s="35">
        <v>260.82591640431059</v>
      </c>
      <c r="J753" s="35">
        <v>284.02336574174171</v>
      </c>
      <c r="K753" s="35">
        <v>286.47210925801397</v>
      </c>
      <c r="L753" s="35">
        <v>331.35346012177433</v>
      </c>
    </row>
    <row r="754" spans="1:12">
      <c r="A754" s="35">
        <v>229.31466466015294</v>
      </c>
      <c r="B754" s="35">
        <v>245.91267738864451</v>
      </c>
      <c r="C754" s="35">
        <v>253.11845580532861</v>
      </c>
      <c r="D754" s="35">
        <v>265.09959769614022</v>
      </c>
      <c r="E754" s="35">
        <v>276.42387791238423</v>
      </c>
      <c r="F754" s="35">
        <v>240.90179564028645</v>
      </c>
      <c r="G754" s="35">
        <v>258.84869197686254</v>
      </c>
      <c r="H754" s="35">
        <v>260.36054681568515</v>
      </c>
      <c r="I754" s="35">
        <v>285.4247797393852</v>
      </c>
      <c r="J754" s="35">
        <v>317.37516049024401</v>
      </c>
      <c r="K754" s="35">
        <v>315.22537000724196</v>
      </c>
      <c r="L754" s="35">
        <v>369.23115761468699</v>
      </c>
    </row>
    <row r="755" spans="1:12">
      <c r="A755" s="35">
        <v>253.16397678347263</v>
      </c>
      <c r="B755" s="35">
        <v>255.68616697837291</v>
      </c>
      <c r="C755" s="35">
        <v>242.83259442690786</v>
      </c>
      <c r="D755" s="35">
        <v>222.35968417147137</v>
      </c>
      <c r="E755" s="35">
        <v>273.01080783679083</v>
      </c>
      <c r="F755" s="35">
        <v>237.89024724100585</v>
      </c>
      <c r="G755" s="35">
        <v>238.49553959056243</v>
      </c>
      <c r="H755" s="35">
        <v>256.14065517850372</v>
      </c>
      <c r="I755" s="35">
        <v>273.10781555224349</v>
      </c>
      <c r="J755" s="35">
        <v>268.94330168044382</v>
      </c>
      <c r="K755" s="35">
        <v>285.16258047944882</v>
      </c>
      <c r="L755" s="35">
        <v>348.60256434098483</v>
      </c>
    </row>
    <row r="756" spans="1:12">
      <c r="A756" s="35">
        <v>262.04281763433556</v>
      </c>
      <c r="B756" s="35">
        <v>265.44826678690004</v>
      </c>
      <c r="C756" s="35">
        <v>238.0628369547168</v>
      </c>
      <c r="D756" s="35">
        <v>251.3922828952517</v>
      </c>
      <c r="E756" s="35">
        <v>289.97605187696468</v>
      </c>
      <c r="F756" s="35">
        <v>261.65390267208238</v>
      </c>
      <c r="G756" s="35">
        <v>264.74697059735701</v>
      </c>
      <c r="H756" s="35">
        <v>271.91264155145916</v>
      </c>
      <c r="I756" s="35">
        <v>296.17739728373033</v>
      </c>
      <c r="J756" s="35">
        <v>309.69951188290872</v>
      </c>
      <c r="K756" s="35">
        <v>322.10324276527234</v>
      </c>
      <c r="L756" s="35">
        <v>374.86293818297713</v>
      </c>
    </row>
    <row r="757" spans="1:12">
      <c r="A757" s="35">
        <v>249.05831992368564</v>
      </c>
      <c r="B757" s="35">
        <v>267.56958694722852</v>
      </c>
      <c r="C757" s="35">
        <v>260.97922187836912</v>
      </c>
      <c r="D757" s="35">
        <v>264.39458547073792</v>
      </c>
      <c r="E757" s="35">
        <v>300.4871747502163</v>
      </c>
      <c r="F757" s="35">
        <v>285.08916531418328</v>
      </c>
      <c r="G757" s="35">
        <v>294.1091815656327</v>
      </c>
      <c r="H757" s="35">
        <v>307.85836851452171</v>
      </c>
      <c r="I757" s="35">
        <v>345.73704490057361</v>
      </c>
      <c r="J757" s="35">
        <v>355.41227432208797</v>
      </c>
      <c r="K757" s="35">
        <v>378.37763326584451</v>
      </c>
      <c r="L757" s="35">
        <v>448.58716747370823</v>
      </c>
    </row>
    <row r="758" spans="1:12">
      <c r="A758" s="35">
        <v>241.41299227138373</v>
      </c>
      <c r="B758" s="35">
        <v>275.14918504820912</v>
      </c>
      <c r="C758" s="35">
        <v>233.14098797378475</v>
      </c>
      <c r="D758" s="35">
        <v>228.69889257920823</v>
      </c>
      <c r="E758" s="35">
        <v>271.12911102298625</v>
      </c>
      <c r="F758" s="35">
        <v>234.33347984780295</v>
      </c>
      <c r="G758" s="35">
        <v>248.55917157895945</v>
      </c>
      <c r="H758" s="35">
        <v>270.27613149002826</v>
      </c>
      <c r="I758" s="35">
        <v>260.29541255165486</v>
      </c>
      <c r="J758" s="35">
        <v>288.8105634318801</v>
      </c>
      <c r="K758" s="35">
        <v>302.49388190657805</v>
      </c>
      <c r="L758" s="35">
        <v>361.30171444526883</v>
      </c>
    </row>
    <row r="759" spans="1:12">
      <c r="A759" s="35">
        <v>249.90022501600833</v>
      </c>
      <c r="B759" s="35">
        <v>265.96138593076603</v>
      </c>
      <c r="C759" s="35">
        <v>243.7879645357481</v>
      </c>
      <c r="D759" s="35">
        <v>233.65529099148083</v>
      </c>
      <c r="E759" s="35">
        <v>272.74122896771826</v>
      </c>
      <c r="F759" s="35">
        <v>248.30383340533598</v>
      </c>
      <c r="G759" s="35">
        <v>258.22146389443191</v>
      </c>
      <c r="H759" s="35">
        <v>252.62860597786135</v>
      </c>
      <c r="I759" s="35">
        <v>269.35585831864859</v>
      </c>
      <c r="J759" s="35">
        <v>281.03295475682722</v>
      </c>
      <c r="K759" s="35">
        <v>289.04580180870914</v>
      </c>
      <c r="L759" s="35">
        <v>336.3576433627116</v>
      </c>
    </row>
    <row r="760" spans="1:12">
      <c r="A760" s="35">
        <v>236.20707125467032</v>
      </c>
      <c r="B760" s="35">
        <v>277.98705748851535</v>
      </c>
      <c r="C760" s="35">
        <v>235.4880659177517</v>
      </c>
      <c r="D760" s="35">
        <v>249.86660730182345</v>
      </c>
      <c r="E760" s="35">
        <v>273.79090223639514</v>
      </c>
      <c r="F760" s="35">
        <v>256.45092264996703</v>
      </c>
      <c r="G760" s="35">
        <v>275.32422545364989</v>
      </c>
      <c r="H760" s="35">
        <v>271.30914276489847</v>
      </c>
      <c r="I760" s="35">
        <v>296.5005427623139</v>
      </c>
      <c r="J760" s="35">
        <v>313.34446594920246</v>
      </c>
      <c r="K760" s="35">
        <v>340.89050646961783</v>
      </c>
      <c r="L760" s="35">
        <v>394.96928274511839</v>
      </c>
    </row>
    <row r="761" spans="1:12">
      <c r="A761" s="35">
        <v>230.0766637286269</v>
      </c>
      <c r="B761" s="35">
        <v>286.11824206583799</v>
      </c>
      <c r="C761" s="35">
        <v>252.3477943705756</v>
      </c>
      <c r="D761" s="35">
        <v>261.95937977480412</v>
      </c>
      <c r="E761" s="35">
        <v>277.6234050438149</v>
      </c>
      <c r="F761" s="35">
        <v>243.73643529372487</v>
      </c>
      <c r="G761" s="35">
        <v>267.14828075439436</v>
      </c>
      <c r="H761" s="35">
        <v>272.85671344461798</v>
      </c>
      <c r="I761" s="35">
        <v>289.13535595253694</v>
      </c>
      <c r="J761" s="35">
        <v>312.51628248394553</v>
      </c>
      <c r="K761" s="35">
        <v>339.98700661212746</v>
      </c>
      <c r="L761" s="35">
        <v>384.86715264153952</v>
      </c>
    </row>
    <row r="762" spans="1:12">
      <c r="A762" s="35">
        <v>237.71346631796487</v>
      </c>
      <c r="B762" s="35">
        <v>261.31068777364578</v>
      </c>
      <c r="C762" s="35">
        <v>249.41744615275204</v>
      </c>
      <c r="D762" s="35">
        <v>250.92608930888176</v>
      </c>
      <c r="E762" s="35">
        <v>279.04683381022761</v>
      </c>
      <c r="F762" s="35">
        <v>273.5851936158229</v>
      </c>
      <c r="G762" s="35">
        <v>265.18385188889988</v>
      </c>
      <c r="H762" s="35">
        <v>286.41537180553337</v>
      </c>
      <c r="I762" s="35">
        <v>296.09859194626307</v>
      </c>
      <c r="J762" s="35">
        <v>308.86189629173037</v>
      </c>
      <c r="K762" s="35">
        <v>322.42128035814596</v>
      </c>
      <c r="L762" s="35">
        <v>371.54428600625982</v>
      </c>
    </row>
    <row r="763" spans="1:12">
      <c r="A763" s="35">
        <v>232.33934517960293</v>
      </c>
      <c r="B763" s="35">
        <v>255.76059188423793</v>
      </c>
      <c r="C763" s="35">
        <v>245.69705433041665</v>
      </c>
      <c r="D763" s="35">
        <v>241.28381343191953</v>
      </c>
      <c r="E763" s="35">
        <v>287.77441367623163</v>
      </c>
      <c r="F763" s="35">
        <v>250.35110248933827</v>
      </c>
      <c r="G763" s="35">
        <v>253.47004502605716</v>
      </c>
      <c r="H763" s="35">
        <v>254.70340940740596</v>
      </c>
      <c r="I763" s="35">
        <v>281.74811218684818</v>
      </c>
      <c r="J763" s="35">
        <v>301.21111402295674</v>
      </c>
      <c r="K763" s="35">
        <v>316.7989195817662</v>
      </c>
      <c r="L763" s="35">
        <v>362.01128967133525</v>
      </c>
    </row>
    <row r="764" spans="1:12">
      <c r="A764" s="35">
        <v>234.43016125872902</v>
      </c>
      <c r="B764" s="35">
        <v>269.0842960699149</v>
      </c>
      <c r="C764" s="35">
        <v>242.84102635056036</v>
      </c>
      <c r="D764" s="35">
        <v>248.79761755279068</v>
      </c>
      <c r="E764" s="35">
        <v>290.37858318823305</v>
      </c>
      <c r="F764" s="35">
        <v>248.60252712728013</v>
      </c>
      <c r="G764" s="35">
        <v>268.29668448909359</v>
      </c>
      <c r="H764" s="35">
        <v>279.32611067288718</v>
      </c>
      <c r="I764" s="35">
        <v>305.06803365994824</v>
      </c>
      <c r="J764" s="35">
        <v>315.53715619298464</v>
      </c>
      <c r="K764" s="35">
        <v>317.90517191564322</v>
      </c>
      <c r="L764" s="35">
        <v>381.86360257652757</v>
      </c>
    </row>
    <row r="765" spans="1:12">
      <c r="A765" s="35">
        <v>259.45851566969264</v>
      </c>
      <c r="B765" s="35">
        <v>259.73538264259963</v>
      </c>
      <c r="C765" s="35">
        <v>233.28136585818942</v>
      </c>
      <c r="D765" s="35">
        <v>231.74800677549209</v>
      </c>
      <c r="E765" s="35">
        <v>290.12178661098875</v>
      </c>
      <c r="F765" s="35">
        <v>235.77084335814786</v>
      </c>
      <c r="G765" s="35">
        <v>254.5223150695964</v>
      </c>
      <c r="H765" s="35">
        <v>256.58918812735817</v>
      </c>
      <c r="I765" s="35">
        <v>301.36268021137255</v>
      </c>
      <c r="J765" s="35">
        <v>311.84788812220785</v>
      </c>
      <c r="K765" s="35">
        <v>346.3774400471321</v>
      </c>
      <c r="L765" s="35">
        <v>375.25563841462014</v>
      </c>
    </row>
    <row r="766" spans="1:12">
      <c r="A766" s="35">
        <v>266.61796027152752</v>
      </c>
      <c r="B766" s="35">
        <v>279.85287814893587</v>
      </c>
      <c r="C766" s="35">
        <v>269.32487355514149</v>
      </c>
      <c r="D766" s="35">
        <v>249.88242359581525</v>
      </c>
      <c r="E766" s="35">
        <v>312.15384765241004</v>
      </c>
      <c r="F766" s="35">
        <v>281.29057233150439</v>
      </c>
      <c r="G766" s="35">
        <v>296.12355235037228</v>
      </c>
      <c r="H766" s="35">
        <v>299.12298358127447</v>
      </c>
      <c r="I766" s="35">
        <v>329.05703176109171</v>
      </c>
      <c r="J766" s="35">
        <v>357.59255561179958</v>
      </c>
      <c r="K766" s="35">
        <v>373.21887233563507</v>
      </c>
      <c r="L766" s="35">
        <v>445.79449695839924</v>
      </c>
    </row>
    <row r="767" spans="1:12">
      <c r="A767" s="35">
        <v>260.96163329081384</v>
      </c>
      <c r="B767" s="35">
        <v>273.05093513769452</v>
      </c>
      <c r="C767" s="35">
        <v>236.40057687760753</v>
      </c>
      <c r="D767" s="35">
        <v>236.69033934518771</v>
      </c>
      <c r="E767" s="35">
        <v>261.3905963777101</v>
      </c>
      <c r="F767" s="35">
        <v>248.61786621145251</v>
      </c>
      <c r="G767" s="35">
        <v>230.95864693953845</v>
      </c>
      <c r="H767" s="35">
        <v>251.31361516351018</v>
      </c>
      <c r="I767" s="35">
        <v>277.35998527654738</v>
      </c>
      <c r="J767" s="35">
        <v>281.74256685393391</v>
      </c>
      <c r="K767" s="35">
        <v>311.16348378611934</v>
      </c>
      <c r="L767" s="35">
        <v>334.6733975836479</v>
      </c>
    </row>
    <row r="768" spans="1:12">
      <c r="A768" s="35">
        <v>237.06448709258746</v>
      </c>
      <c r="B768" s="35">
        <v>277.45910855445328</v>
      </c>
      <c r="C768" s="35">
        <v>257.39511136152606</v>
      </c>
      <c r="D768" s="35">
        <v>253.45685992567022</v>
      </c>
      <c r="E768" s="35">
        <v>294.22292638965303</v>
      </c>
      <c r="F768" s="35">
        <v>253.09216345007471</v>
      </c>
      <c r="G768" s="35">
        <v>263.58023752649666</v>
      </c>
      <c r="H768" s="35">
        <v>288.27575473606208</v>
      </c>
      <c r="I768" s="35">
        <v>295.64697173419688</v>
      </c>
      <c r="J768" s="35">
        <v>320.76558036661385</v>
      </c>
      <c r="K768" s="35">
        <v>355.3180430044431</v>
      </c>
      <c r="L768" s="35">
        <v>425.6348034539871</v>
      </c>
    </row>
    <row r="769" spans="1:12">
      <c r="A769" s="35">
        <v>229.97600066257684</v>
      </c>
      <c r="B769" s="35">
        <v>258.38698654819586</v>
      </c>
      <c r="C769" s="35">
        <v>211.75896957446341</v>
      </c>
      <c r="D769" s="35">
        <v>211.26970947192197</v>
      </c>
      <c r="E769" s="35">
        <v>239.59544218650544</v>
      </c>
      <c r="F769" s="35">
        <v>203.0842203108472</v>
      </c>
      <c r="G769" s="35">
        <v>199.41416258520999</v>
      </c>
      <c r="H769" s="35">
        <v>199.07641010965142</v>
      </c>
      <c r="I769" s="35">
        <v>219.50657069071011</v>
      </c>
      <c r="J769" s="35">
        <v>221.2029906023491</v>
      </c>
      <c r="K769" s="35">
        <v>249.20713907816656</v>
      </c>
      <c r="L769" s="35">
        <v>264.24209714098737</v>
      </c>
    </row>
    <row r="770" spans="1:12">
      <c r="A770" s="35">
        <v>244.5790030647386</v>
      </c>
      <c r="B770" s="35">
        <v>261.01439043387205</v>
      </c>
      <c r="C770" s="35">
        <v>230.81510834535925</v>
      </c>
      <c r="D770" s="35">
        <v>220.95154507396896</v>
      </c>
      <c r="E770" s="35">
        <v>269.24433520276972</v>
      </c>
      <c r="F770" s="35">
        <v>218.80340816483562</v>
      </c>
      <c r="G770" s="35">
        <v>229.67069048040361</v>
      </c>
      <c r="H770" s="35">
        <v>235.49787201048835</v>
      </c>
      <c r="I770" s="35">
        <v>233.27971488828274</v>
      </c>
      <c r="J770" s="35">
        <v>263.52785755424674</v>
      </c>
      <c r="K770" s="35">
        <v>251.76059972002508</v>
      </c>
      <c r="L770" s="35">
        <v>316.45538778711818</v>
      </c>
    </row>
    <row r="771" spans="1:12">
      <c r="A771" s="35">
        <v>230.71245415280907</v>
      </c>
      <c r="B771" s="35">
        <v>249.02800117682693</v>
      </c>
      <c r="C771" s="35">
        <v>233.75719849078675</v>
      </c>
      <c r="D771" s="35">
        <v>225.97931652700311</v>
      </c>
      <c r="E771" s="35">
        <v>255.16230739188802</v>
      </c>
      <c r="F771" s="35">
        <v>239.81270627852066</v>
      </c>
      <c r="G771" s="35">
        <v>239.51597659476218</v>
      </c>
      <c r="H771" s="35">
        <v>250.99840654127144</v>
      </c>
      <c r="I771" s="35">
        <v>271.21703352046188</v>
      </c>
      <c r="J771" s="35">
        <v>279.19429149871655</v>
      </c>
      <c r="K771" s="35">
        <v>291.25307622467204</v>
      </c>
      <c r="L771" s="35">
        <v>333.22266366750387</v>
      </c>
    </row>
    <row r="772" spans="1:12">
      <c r="A772" s="35">
        <v>250.93690148243141</v>
      </c>
      <c r="B772" s="35">
        <v>257.46102825187512</v>
      </c>
      <c r="C772" s="35">
        <v>232.71819242239292</v>
      </c>
      <c r="D772" s="35">
        <v>244.35066942360345</v>
      </c>
      <c r="E772" s="35">
        <v>282.81066446836763</v>
      </c>
      <c r="F772" s="35">
        <v>234.25108096356897</v>
      </c>
      <c r="G772" s="35">
        <v>240.64790720554944</v>
      </c>
      <c r="H772" s="35">
        <v>252.08339989726585</v>
      </c>
      <c r="I772" s="35">
        <v>297.48671639936202</v>
      </c>
      <c r="J772" s="35">
        <v>302.58884675659942</v>
      </c>
      <c r="K772" s="35">
        <v>313.8316751599076</v>
      </c>
      <c r="L772" s="35">
        <v>364.31197538199882</v>
      </c>
    </row>
    <row r="773" spans="1:12">
      <c r="A773" s="35">
        <v>245.60208532347218</v>
      </c>
      <c r="B773" s="35">
        <v>245.71521607689283</v>
      </c>
      <c r="C773" s="35">
        <v>222.42646206488715</v>
      </c>
      <c r="D773" s="35">
        <v>240.03675413974204</v>
      </c>
      <c r="E773" s="35">
        <v>274.72445398142958</v>
      </c>
      <c r="F773" s="35">
        <v>230.29153364298287</v>
      </c>
      <c r="G773" s="35">
        <v>222.47368820982715</v>
      </c>
      <c r="H773" s="35">
        <v>243.59032376878244</v>
      </c>
      <c r="I773" s="35">
        <v>276.57164484294373</v>
      </c>
      <c r="J773" s="35">
        <v>270.96217622590751</v>
      </c>
      <c r="K773" s="35">
        <v>286.72781547381226</v>
      </c>
      <c r="L773" s="35">
        <v>339.26566152290786</v>
      </c>
    </row>
    <row r="774" spans="1:12">
      <c r="A774" s="35">
        <v>250.77155796258765</v>
      </c>
      <c r="B774" s="35">
        <v>291.32059854523072</v>
      </c>
      <c r="C774" s="35">
        <v>240.10356924532476</v>
      </c>
      <c r="D774" s="35">
        <v>247.20745448928986</v>
      </c>
      <c r="E774" s="35">
        <v>290.00982513180975</v>
      </c>
      <c r="F774" s="35">
        <v>263.61259027571049</v>
      </c>
      <c r="G774" s="35">
        <v>275.62470985483259</v>
      </c>
      <c r="H774" s="35">
        <v>312.62429269117689</v>
      </c>
      <c r="I774" s="35">
        <v>315.46987970564794</v>
      </c>
      <c r="J774" s="35">
        <v>353.26497426295367</v>
      </c>
      <c r="K774" s="35">
        <v>361.55896773932562</v>
      </c>
      <c r="L774" s="35">
        <v>431.7765485463035</v>
      </c>
    </row>
    <row r="775" spans="1:12">
      <c r="A775" s="35">
        <v>249.35442481366334</v>
      </c>
      <c r="B775" s="35">
        <v>261.87233023213287</v>
      </c>
      <c r="C775" s="35">
        <v>240.44509239733179</v>
      </c>
      <c r="D775" s="35">
        <v>221.07047149229771</v>
      </c>
      <c r="E775" s="35">
        <v>280.30372908602135</v>
      </c>
      <c r="F775" s="35">
        <v>227.43767824990019</v>
      </c>
      <c r="G775" s="35">
        <v>239.22087888982773</v>
      </c>
      <c r="H775" s="35">
        <v>247.99998916683577</v>
      </c>
      <c r="I775" s="35">
        <v>282.33710843077517</v>
      </c>
      <c r="J775" s="35">
        <v>293.45251177537085</v>
      </c>
      <c r="K775" s="35">
        <v>299.77259078299306</v>
      </c>
      <c r="L775" s="35">
        <v>345.84987042048897</v>
      </c>
    </row>
    <row r="776" spans="1:12">
      <c r="A776" s="35">
        <v>236.17803464130807</v>
      </c>
      <c r="B776" s="35">
        <v>259.59446193374185</v>
      </c>
      <c r="C776" s="35">
        <v>222.6165813011084</v>
      </c>
      <c r="D776" s="35">
        <v>236.17278180801296</v>
      </c>
      <c r="E776" s="35">
        <v>270.86415682953498</v>
      </c>
      <c r="F776" s="35">
        <v>245.34546623873626</v>
      </c>
      <c r="G776" s="35">
        <v>234.48874458554135</v>
      </c>
      <c r="H776" s="35">
        <v>242.20167794126121</v>
      </c>
      <c r="I776" s="35">
        <v>281.99072281158453</v>
      </c>
      <c r="J776" s="35">
        <v>297.77048898838871</v>
      </c>
      <c r="K776" s="35">
        <v>299.55386591479578</v>
      </c>
      <c r="L776" s="35">
        <v>361.32001811639645</v>
      </c>
    </row>
    <row r="777" spans="1:12">
      <c r="A777" s="35">
        <v>256.14760387637597</v>
      </c>
      <c r="B777" s="35">
        <v>271.56718180332723</v>
      </c>
      <c r="C777" s="35">
        <v>253.26289331729217</v>
      </c>
      <c r="D777" s="35">
        <v>246.60234551461951</v>
      </c>
      <c r="E777" s="35">
        <v>301.55150378252301</v>
      </c>
      <c r="F777" s="35">
        <v>257.15323004149656</v>
      </c>
      <c r="G777" s="35">
        <v>283.54492428380257</v>
      </c>
      <c r="H777" s="35">
        <v>286.91261693145356</v>
      </c>
      <c r="I777" s="35">
        <v>299.64482613858911</v>
      </c>
      <c r="J777" s="35">
        <v>343.62172668180671</v>
      </c>
      <c r="K777" s="35">
        <v>339.04874596429727</v>
      </c>
      <c r="L777" s="35">
        <v>399.22157713069589</v>
      </c>
    </row>
    <row r="778" spans="1:12">
      <c r="A778" s="35">
        <v>258.70020149865377</v>
      </c>
      <c r="B778" s="35">
        <v>267.14379370618872</v>
      </c>
      <c r="C778" s="35">
        <v>269.45974545679348</v>
      </c>
      <c r="D778" s="35">
        <v>265.03099919777475</v>
      </c>
      <c r="E778" s="35">
        <v>314.53694506379645</v>
      </c>
      <c r="F778" s="35">
        <v>277.04284022040935</v>
      </c>
      <c r="G778" s="35">
        <v>289.55111327021399</v>
      </c>
      <c r="H778" s="35">
        <v>313.15857287445618</v>
      </c>
      <c r="I778" s="35">
        <v>323.9124043619845</v>
      </c>
      <c r="J778" s="35">
        <v>355.86491424767667</v>
      </c>
      <c r="K778" s="35">
        <v>359.20878797038438</v>
      </c>
      <c r="L778" s="35">
        <v>439.79973280044942</v>
      </c>
    </row>
    <row r="779" spans="1:12">
      <c r="A779" s="35">
        <v>236.79923577312016</v>
      </c>
      <c r="B779" s="35">
        <v>243.00187328010435</v>
      </c>
      <c r="C779" s="35">
        <v>234.02294523364117</v>
      </c>
      <c r="D779" s="35">
        <v>228.98566448598203</v>
      </c>
      <c r="E779" s="35">
        <v>272.15159272992662</v>
      </c>
      <c r="F779" s="35">
        <v>243.85039734375084</v>
      </c>
      <c r="G779" s="35">
        <v>229.59455283692409</v>
      </c>
      <c r="H779" s="35">
        <v>231.1457644360195</v>
      </c>
      <c r="I779" s="35">
        <v>246.96802338955581</v>
      </c>
      <c r="J779" s="35">
        <v>269.2037458649728</v>
      </c>
      <c r="K779" s="35">
        <v>280.20110579491183</v>
      </c>
      <c r="L779" s="35">
        <v>338.09517913689035</v>
      </c>
    </row>
    <row r="780" spans="1:12">
      <c r="A780" s="35">
        <v>241.19176421561787</v>
      </c>
      <c r="B780" s="35">
        <v>269.58797045203465</v>
      </c>
      <c r="C780" s="35">
        <v>245.3351916615635</v>
      </c>
      <c r="D780" s="35">
        <v>242.92655026056846</v>
      </c>
      <c r="E780" s="35">
        <v>275.0840072408073</v>
      </c>
      <c r="F780" s="35">
        <v>226.48197729300858</v>
      </c>
      <c r="G780" s="35">
        <v>265.31403281502503</v>
      </c>
      <c r="H780" s="35">
        <v>283.23093327547645</v>
      </c>
      <c r="I780" s="35">
        <v>278.17615143688852</v>
      </c>
      <c r="J780" s="35">
        <v>317.90171643154412</v>
      </c>
      <c r="K780" s="35">
        <v>319.04841386766935</v>
      </c>
      <c r="L780" s="35">
        <v>388.31668635968322</v>
      </c>
    </row>
    <row r="781" spans="1:12">
      <c r="A781" s="35">
        <v>252.20861207738523</v>
      </c>
      <c r="B781" s="35">
        <v>279.25565582861338</v>
      </c>
      <c r="C781" s="35">
        <v>234.17694889875904</v>
      </c>
      <c r="D781" s="35">
        <v>234.74756502515964</v>
      </c>
      <c r="E781" s="35">
        <v>279.25206682911602</v>
      </c>
      <c r="F781" s="35">
        <v>235.58112831969206</v>
      </c>
      <c r="G781" s="35">
        <v>261.21402060085433</v>
      </c>
      <c r="H781" s="35">
        <v>263.4168503842219</v>
      </c>
      <c r="I781" s="35">
        <v>274.70436041144956</v>
      </c>
      <c r="J781" s="35">
        <v>296.468673250439</v>
      </c>
      <c r="K781" s="35">
        <v>312.50549389277501</v>
      </c>
      <c r="L781" s="35">
        <v>358.01194431658996</v>
      </c>
    </row>
    <row r="782" spans="1:12">
      <c r="A782" s="35">
        <v>248.47181536240006</v>
      </c>
      <c r="B782" s="35">
        <v>247.69038538716671</v>
      </c>
      <c r="C782" s="35">
        <v>219.11583716218342</v>
      </c>
      <c r="D782" s="35">
        <v>231.8060657354182</v>
      </c>
      <c r="E782" s="35">
        <v>263.65734190641763</v>
      </c>
      <c r="F782" s="35">
        <v>237.09957020025172</v>
      </c>
      <c r="G782" s="35">
        <v>238.31510342898338</v>
      </c>
      <c r="H782" s="35">
        <v>245.45951579618611</v>
      </c>
      <c r="I782" s="35">
        <v>286.05572414651726</v>
      </c>
      <c r="J782" s="35">
        <v>297.67401406827963</v>
      </c>
      <c r="K782" s="35">
        <v>292.57473669965759</v>
      </c>
      <c r="L782" s="35">
        <v>350.85339880066738</v>
      </c>
    </row>
    <row r="783" spans="1:12">
      <c r="A783" s="35">
        <v>234.52473907507442</v>
      </c>
      <c r="B783" s="35">
        <v>251.66207805491686</v>
      </c>
      <c r="C783" s="35">
        <v>242.12983153699776</v>
      </c>
      <c r="D783" s="35">
        <v>227.72967221546355</v>
      </c>
      <c r="E783" s="35">
        <v>257.31696930006359</v>
      </c>
      <c r="F783" s="35">
        <v>252.96885324669915</v>
      </c>
      <c r="G783" s="35">
        <v>246.28995094343233</v>
      </c>
      <c r="H783" s="35">
        <v>248.75223023099221</v>
      </c>
      <c r="I783" s="35">
        <v>270.24959553512025</v>
      </c>
      <c r="J783" s="35">
        <v>270.5863846505888</v>
      </c>
      <c r="K783" s="35">
        <v>303.59899466551997</v>
      </c>
      <c r="L783" s="35">
        <v>356.74623391545259</v>
      </c>
    </row>
    <row r="784" spans="1:12">
      <c r="A784" s="35">
        <v>266.01567222331352</v>
      </c>
      <c r="B784" s="35">
        <v>259.06830327341964</v>
      </c>
      <c r="C784" s="35">
        <v>252.9354088608259</v>
      </c>
      <c r="D784" s="35">
        <v>234.98527059270216</v>
      </c>
      <c r="E784" s="35">
        <v>294.02479541096187</v>
      </c>
      <c r="F784" s="35">
        <v>276.04654317724339</v>
      </c>
      <c r="G784" s="35">
        <v>287.04293308123886</v>
      </c>
      <c r="H784" s="35">
        <v>295.53946178050154</v>
      </c>
      <c r="I784" s="35">
        <v>320.70440851911013</v>
      </c>
      <c r="J784" s="35">
        <v>337.92915201359904</v>
      </c>
      <c r="K784" s="35">
        <v>350.14934890133492</v>
      </c>
      <c r="L784" s="35">
        <v>422.84287747768127</v>
      </c>
    </row>
    <row r="785" spans="1:12">
      <c r="A785" s="35">
        <v>240.01790312998475</v>
      </c>
      <c r="B785" s="35">
        <v>266.61974018000757</v>
      </c>
      <c r="C785" s="35">
        <v>236.86805235150874</v>
      </c>
      <c r="D785" s="35">
        <v>224.75361032289214</v>
      </c>
      <c r="E785" s="35">
        <v>293.59423784407437</v>
      </c>
      <c r="F785" s="35">
        <v>271.58041647563527</v>
      </c>
      <c r="G785" s="35">
        <v>262.64563565363915</v>
      </c>
      <c r="H785" s="35">
        <v>273.67665633046062</v>
      </c>
      <c r="I785" s="35">
        <v>285.28909097825937</v>
      </c>
      <c r="J785" s="35">
        <v>306.94238200137653</v>
      </c>
      <c r="K785" s="35">
        <v>332.05995119594161</v>
      </c>
      <c r="L785" s="35">
        <v>369.96432736493892</v>
      </c>
    </row>
    <row r="786" spans="1:12">
      <c r="A786" s="35">
        <v>239.88834818656917</v>
      </c>
      <c r="B786" s="35">
        <v>261.42195977882795</v>
      </c>
      <c r="C786" s="35">
        <v>246.28976714805719</v>
      </c>
      <c r="D786" s="35">
        <v>245.37898815866296</v>
      </c>
      <c r="E786" s="35">
        <v>297.9542496876881</v>
      </c>
      <c r="F786" s="35">
        <v>265.13410145344596</v>
      </c>
      <c r="G786" s="35">
        <v>277.20923154084153</v>
      </c>
      <c r="H786" s="35">
        <v>272.9058633760007</v>
      </c>
      <c r="I786" s="35">
        <v>311.30278374457032</v>
      </c>
      <c r="J786" s="35">
        <v>327.09991630280501</v>
      </c>
      <c r="K786" s="35">
        <v>352.26298746272113</v>
      </c>
      <c r="L786" s="35">
        <v>419.39133742388657</v>
      </c>
    </row>
    <row r="787" spans="1:12">
      <c r="A787" s="35">
        <v>236.35279645655004</v>
      </c>
      <c r="B787" s="35">
        <v>273.02649046640124</v>
      </c>
      <c r="C787" s="35">
        <v>242.72839624223201</v>
      </c>
      <c r="D787" s="35">
        <v>253.20772833042506</v>
      </c>
      <c r="E787" s="35">
        <v>287.53176974905961</v>
      </c>
      <c r="F787" s="35">
        <v>248.12086009109379</v>
      </c>
      <c r="G787" s="35">
        <v>251.80251472399027</v>
      </c>
      <c r="H787" s="35">
        <v>267.84733434082966</v>
      </c>
      <c r="I787" s="35">
        <v>288.48328187503682</v>
      </c>
      <c r="J787" s="35">
        <v>300.3313815300919</v>
      </c>
      <c r="K787" s="35">
        <v>301.91221587770559</v>
      </c>
      <c r="L787" s="35">
        <v>345.43215909689263</v>
      </c>
    </row>
    <row r="788" spans="1:12">
      <c r="A788" s="35">
        <v>247.65943544200522</v>
      </c>
      <c r="B788" s="35">
        <v>237.09397292437475</v>
      </c>
      <c r="C788" s="35">
        <v>209.66073623308984</v>
      </c>
      <c r="D788" s="35">
        <v>219.93763940947204</v>
      </c>
      <c r="E788" s="35">
        <v>247.11204060523713</v>
      </c>
      <c r="F788" s="35">
        <v>215.2021381051504</v>
      </c>
      <c r="G788" s="35">
        <v>204.84775591637248</v>
      </c>
      <c r="H788" s="35">
        <v>218.06061868484778</v>
      </c>
      <c r="I788" s="35">
        <v>237.51431343858022</v>
      </c>
      <c r="J788" s="35">
        <v>234.82214851092235</v>
      </c>
      <c r="K788" s="35">
        <v>257.56459854042669</v>
      </c>
      <c r="L788" s="35">
        <v>293.81288814590084</v>
      </c>
    </row>
    <row r="789" spans="1:12">
      <c r="A789" s="35">
        <v>245.51377283984601</v>
      </c>
      <c r="B789" s="35">
        <v>258.06311243708228</v>
      </c>
      <c r="C789" s="35">
        <v>250.7003753027156</v>
      </c>
      <c r="D789" s="35">
        <v>239.8759511029769</v>
      </c>
      <c r="E789" s="35">
        <v>275.93544433189066</v>
      </c>
      <c r="F789" s="35">
        <v>255.40787942586277</v>
      </c>
      <c r="G789" s="35">
        <v>272.5523277655476</v>
      </c>
      <c r="H789" s="35">
        <v>279.68797987964376</v>
      </c>
      <c r="I789" s="35">
        <v>290.200446190408</v>
      </c>
      <c r="J789" s="35">
        <v>294.01017600817892</v>
      </c>
      <c r="K789" s="35">
        <v>331.92794438074912</v>
      </c>
      <c r="L789" s="35">
        <v>386.53084236672703</v>
      </c>
    </row>
    <row r="790" spans="1:12">
      <c r="A790" s="35">
        <v>239.02521228024577</v>
      </c>
      <c r="B790" s="35">
        <v>289.48929954905429</v>
      </c>
      <c r="C790" s="35">
        <v>253.75908292640798</v>
      </c>
      <c r="D790" s="35">
        <v>252.4286476512375</v>
      </c>
      <c r="E790" s="35">
        <v>301.36801359274517</v>
      </c>
      <c r="F790" s="35">
        <v>254.02899225463142</v>
      </c>
      <c r="G790" s="35">
        <v>265.37127794408104</v>
      </c>
      <c r="H790" s="35">
        <v>282.46052654073748</v>
      </c>
      <c r="I790" s="35">
        <v>315.01936773055581</v>
      </c>
      <c r="J790" s="35">
        <v>318.66310732852531</v>
      </c>
      <c r="K790" s="35">
        <v>331.36283381314462</v>
      </c>
      <c r="L790" s="35">
        <v>389.03755397730617</v>
      </c>
    </row>
    <row r="791" spans="1:12">
      <c r="A791" s="35">
        <v>260.64777306256696</v>
      </c>
      <c r="B791" s="35">
        <v>247.8262994463926</v>
      </c>
      <c r="C791" s="35">
        <v>244.09870686734942</v>
      </c>
      <c r="D791" s="35">
        <v>233.35672897831378</v>
      </c>
      <c r="E791" s="35">
        <v>277.08707587558979</v>
      </c>
      <c r="F791" s="35">
        <v>252.82661342830218</v>
      </c>
      <c r="G791" s="35">
        <v>256.59233626339523</v>
      </c>
      <c r="H791" s="35">
        <v>259.88266803892668</v>
      </c>
      <c r="I791" s="35">
        <v>283.03149233594803</v>
      </c>
      <c r="J791" s="35">
        <v>301.68703422783364</v>
      </c>
      <c r="K791" s="35">
        <v>304.61225812118408</v>
      </c>
      <c r="L791" s="35">
        <v>354.39489755363138</v>
      </c>
    </row>
    <row r="792" spans="1:12">
      <c r="A792" s="35">
        <v>259.50603284144023</v>
      </c>
      <c r="B792" s="35">
        <v>283.36427412281716</v>
      </c>
      <c r="C792" s="35">
        <v>247.1442693270624</v>
      </c>
      <c r="D792" s="35">
        <v>240.9483267373862</v>
      </c>
      <c r="E792" s="35">
        <v>286.88638341195599</v>
      </c>
      <c r="F792" s="35">
        <v>256.11880933528397</v>
      </c>
      <c r="G792" s="35">
        <v>262.71314806614674</v>
      </c>
      <c r="H792" s="35">
        <v>272.01104254664733</v>
      </c>
      <c r="I792" s="35">
        <v>291.81237479345646</v>
      </c>
      <c r="J792" s="35">
        <v>318.73790083322655</v>
      </c>
      <c r="K792" s="35">
        <v>337.69496509796966</v>
      </c>
      <c r="L792" s="35">
        <v>376.72432564316966</v>
      </c>
    </row>
    <row r="793" spans="1:12">
      <c r="A793" s="35">
        <v>267.50546550788602</v>
      </c>
      <c r="B793" s="35">
        <v>279.7257445674465</v>
      </c>
      <c r="C793" s="35">
        <v>266.63459861807547</v>
      </c>
      <c r="D793" s="35">
        <v>243.92176300124939</v>
      </c>
      <c r="E793" s="35">
        <v>294.9480495968495</v>
      </c>
      <c r="F793" s="35">
        <v>279.81533838965879</v>
      </c>
      <c r="G793" s="35">
        <v>301.5986717898133</v>
      </c>
      <c r="H793" s="35">
        <v>295.6058114755761</v>
      </c>
      <c r="I793" s="35">
        <v>338.00127552640856</v>
      </c>
      <c r="J793" s="35">
        <v>348.05352916077408</v>
      </c>
      <c r="K793" s="35">
        <v>358.55337842287219</v>
      </c>
      <c r="L793" s="35">
        <v>416.05461523864659</v>
      </c>
    </row>
    <row r="794" spans="1:12">
      <c r="A794" s="35">
        <v>233.55235445053722</v>
      </c>
      <c r="B794" s="35">
        <v>256.09402828860379</v>
      </c>
      <c r="C794" s="35">
        <v>235.61328633248436</v>
      </c>
      <c r="D794" s="35">
        <v>221.39498821278031</v>
      </c>
      <c r="E794" s="35">
        <v>263.36366628190939</v>
      </c>
      <c r="F794" s="35">
        <v>227.78383415301786</v>
      </c>
      <c r="G794" s="35">
        <v>238.99113389492939</v>
      </c>
      <c r="H794" s="35">
        <v>243.56923958305799</v>
      </c>
      <c r="I794" s="35">
        <v>258.69001029584507</v>
      </c>
      <c r="J794" s="35">
        <v>275.41411568813862</v>
      </c>
      <c r="K794" s="35">
        <v>274.11177173079324</v>
      </c>
      <c r="L794" s="35">
        <v>310.50533761811545</v>
      </c>
    </row>
    <row r="795" spans="1:12">
      <c r="A795" s="35">
        <v>232.1895664662635</v>
      </c>
      <c r="B795" s="35">
        <v>257.5694984755844</v>
      </c>
      <c r="C795" s="35">
        <v>243.47851958677956</v>
      </c>
      <c r="D795" s="35">
        <v>242.48299901446578</v>
      </c>
      <c r="E795" s="35">
        <v>262.6761662849068</v>
      </c>
      <c r="F795" s="35">
        <v>228.67511639303032</v>
      </c>
      <c r="G795" s="35">
        <v>239.70208885172386</v>
      </c>
      <c r="H795" s="35">
        <v>233.66597221090927</v>
      </c>
      <c r="I795" s="35">
        <v>269.4801795477614</v>
      </c>
      <c r="J795" s="35">
        <v>288.59194539243811</v>
      </c>
      <c r="K795" s="35">
        <v>289.44818668353747</v>
      </c>
      <c r="L795" s="35">
        <v>330.82273158676827</v>
      </c>
    </row>
    <row r="796" spans="1:12">
      <c r="A796" s="35">
        <v>248.75109407778297</v>
      </c>
      <c r="B796" s="35">
        <v>249.007694508735</v>
      </c>
      <c r="C796" s="35">
        <v>228.88253216392437</v>
      </c>
      <c r="D796" s="35">
        <v>229.90189773939213</v>
      </c>
      <c r="E796" s="35">
        <v>255.75387931067445</v>
      </c>
      <c r="F796" s="35">
        <v>219.98601471253511</v>
      </c>
      <c r="G796" s="35">
        <v>217.80457985185228</v>
      </c>
      <c r="H796" s="35">
        <v>230.52707095030743</v>
      </c>
      <c r="I796" s="35">
        <v>217.982798464848</v>
      </c>
      <c r="J796" s="35">
        <v>251.11144143652186</v>
      </c>
      <c r="K796" s="35">
        <v>257.7732812552951</v>
      </c>
      <c r="L796" s="35">
        <v>265.89231472157883</v>
      </c>
    </row>
    <row r="797" spans="1:12">
      <c r="A797" s="35">
        <v>236.24007310943458</v>
      </c>
      <c r="B797" s="35">
        <v>233.85926114767693</v>
      </c>
      <c r="C797" s="35">
        <v>241.80928227573003</v>
      </c>
      <c r="D797" s="35">
        <v>221.63945572064438</v>
      </c>
      <c r="E797" s="35">
        <v>263.9444937663261</v>
      </c>
      <c r="F797" s="35">
        <v>239.23268097761829</v>
      </c>
      <c r="G797" s="35">
        <v>235.18141225986363</v>
      </c>
      <c r="H797" s="35">
        <v>252.13703922200574</v>
      </c>
      <c r="I797" s="35">
        <v>263.72829918044044</v>
      </c>
      <c r="J797" s="35">
        <v>290.90236210166159</v>
      </c>
      <c r="K797" s="35">
        <v>284.16016771124254</v>
      </c>
      <c r="L797" s="35">
        <v>349.85568488838339</v>
      </c>
    </row>
    <row r="798" spans="1:12">
      <c r="A798" s="35">
        <v>242.30198553259035</v>
      </c>
      <c r="B798" s="35">
        <v>271.61115254960504</v>
      </c>
      <c r="C798" s="35">
        <v>265.9743922917433</v>
      </c>
      <c r="D798" s="35">
        <v>230.04363351612815</v>
      </c>
      <c r="E798" s="35">
        <v>281.13706310609643</v>
      </c>
      <c r="F798" s="35">
        <v>243.98993080093297</v>
      </c>
      <c r="G798" s="35">
        <v>241.89724821013189</v>
      </c>
      <c r="H798" s="35">
        <v>247.28351496071767</v>
      </c>
      <c r="I798" s="35">
        <v>266.39123507674555</v>
      </c>
      <c r="J798" s="35">
        <v>291.9048830926414</v>
      </c>
      <c r="K798" s="35">
        <v>290.92983839361352</v>
      </c>
      <c r="L798" s="35">
        <v>354.94896967951121</v>
      </c>
    </row>
    <row r="799" spans="1:12">
      <c r="A799" s="35">
        <v>249.95386036340943</v>
      </c>
      <c r="B799" s="35">
        <v>264.87281850493986</v>
      </c>
      <c r="C799" s="35">
        <v>249.94049266865815</v>
      </c>
      <c r="D799" s="35">
        <v>236.50366545282387</v>
      </c>
      <c r="E799" s="35">
        <v>272.10799386395809</v>
      </c>
      <c r="F799" s="35">
        <v>244.07568164349345</v>
      </c>
      <c r="G799" s="35">
        <v>265.51786745714969</v>
      </c>
      <c r="H799" s="35">
        <v>253.38600825037923</v>
      </c>
      <c r="I799" s="35">
        <v>297.97081019716103</v>
      </c>
      <c r="J799" s="35">
        <v>307.4233139240136</v>
      </c>
      <c r="K799" s="35">
        <v>306.38261651140004</v>
      </c>
      <c r="L799" s="35">
        <v>358.28516305821938</v>
      </c>
    </row>
    <row r="800" spans="1:12">
      <c r="A800" s="35">
        <v>222.62259064395326</v>
      </c>
      <c r="B800" s="35">
        <v>246.97182196100709</v>
      </c>
      <c r="C800" s="35">
        <v>214.27220762600564</v>
      </c>
      <c r="D800" s="35">
        <v>219.98384653918569</v>
      </c>
      <c r="E800" s="35">
        <v>247.55688045694217</v>
      </c>
      <c r="F800" s="35">
        <v>244.64868266271168</v>
      </c>
      <c r="G800" s="35">
        <v>235.27512112773422</v>
      </c>
      <c r="H800" s="35">
        <v>226.2627802121583</v>
      </c>
      <c r="I800" s="35">
        <v>258.51570694096347</v>
      </c>
      <c r="J800" s="35">
        <v>273.88826761119071</v>
      </c>
      <c r="K800" s="35">
        <v>292.08128576578935</v>
      </c>
      <c r="L800" s="35">
        <v>315.00230089123806</v>
      </c>
    </row>
    <row r="801" spans="1:12">
      <c r="A801" s="35">
        <v>244.79849564306866</v>
      </c>
      <c r="B801" s="35">
        <v>278.35098482313737</v>
      </c>
      <c r="C801" s="35">
        <v>230.69613748441665</v>
      </c>
      <c r="D801" s="35">
        <v>246.31563171472598</v>
      </c>
      <c r="E801" s="35">
        <v>286.1597095586867</v>
      </c>
      <c r="F801" s="35">
        <v>257.93655408325372</v>
      </c>
      <c r="G801" s="35">
        <v>276.51902064980948</v>
      </c>
      <c r="H801" s="35">
        <v>258.59482069359024</v>
      </c>
      <c r="I801" s="35">
        <v>288.71699790258322</v>
      </c>
      <c r="J801" s="35">
        <v>305.77521331476936</v>
      </c>
      <c r="K801" s="35">
        <v>323.91285817248291</v>
      </c>
      <c r="L801" s="35">
        <v>374.39302463817484</v>
      </c>
    </row>
    <row r="802" spans="1:12">
      <c r="A802" s="35">
        <v>256.17831628446805</v>
      </c>
      <c r="B802" s="35">
        <v>267.07709037759867</v>
      </c>
      <c r="C802" s="35">
        <v>242.79969671444948</v>
      </c>
      <c r="D802" s="35">
        <v>255.88897792866419</v>
      </c>
      <c r="E802" s="35">
        <v>298.9505006266956</v>
      </c>
      <c r="F802" s="35">
        <v>251.86756427773551</v>
      </c>
      <c r="G802" s="35">
        <v>255.84583133394793</v>
      </c>
      <c r="H802" s="35">
        <v>290.95449886366947</v>
      </c>
      <c r="I802" s="35">
        <v>300.5594412514111</v>
      </c>
      <c r="J802" s="35">
        <v>315.26139532716059</v>
      </c>
      <c r="K802" s="35">
        <v>349.05792226075607</v>
      </c>
      <c r="L802" s="35">
        <v>388.52832100199032</v>
      </c>
    </row>
    <row r="803" spans="1:12">
      <c r="A803" s="35">
        <v>255.40538731140114</v>
      </c>
      <c r="B803" s="35">
        <v>274.20362520506495</v>
      </c>
      <c r="C803" s="35">
        <v>255.44981343995744</v>
      </c>
      <c r="D803" s="35">
        <v>261.09468272507723</v>
      </c>
      <c r="E803" s="35">
        <v>306.57157636543741</v>
      </c>
      <c r="F803" s="35">
        <v>271.80980283742861</v>
      </c>
      <c r="G803" s="35">
        <v>274.91996694417634</v>
      </c>
      <c r="H803" s="35">
        <v>294.20588458072768</v>
      </c>
      <c r="I803" s="35">
        <v>311.46128924863615</v>
      </c>
      <c r="J803" s="35">
        <v>319.94944475939946</v>
      </c>
      <c r="K803" s="35">
        <v>342.43217572808373</v>
      </c>
      <c r="L803" s="35">
        <v>412.70255603623599</v>
      </c>
    </row>
    <row r="804" spans="1:12">
      <c r="A804" s="35">
        <v>244.64584399795962</v>
      </c>
      <c r="B804" s="35">
        <v>285.84361613255663</v>
      </c>
      <c r="C804" s="35">
        <v>252.37283964459567</v>
      </c>
      <c r="D804" s="35">
        <v>253.77245783029997</v>
      </c>
      <c r="E804" s="35">
        <v>287.41021520242776</v>
      </c>
      <c r="F804" s="35">
        <v>245.46612055205503</v>
      </c>
      <c r="G804" s="35">
        <v>280.93126136921626</v>
      </c>
      <c r="H804" s="35">
        <v>268.43818255627735</v>
      </c>
      <c r="I804" s="35">
        <v>304.69611853680385</v>
      </c>
      <c r="J804" s="35">
        <v>319.62495472854039</v>
      </c>
      <c r="K804" s="35">
        <v>338.89256746602024</v>
      </c>
      <c r="L804" s="35">
        <v>383.52266173582626</v>
      </c>
    </row>
    <row r="805" spans="1:12">
      <c r="A805" s="35">
        <v>220.18433960272506</v>
      </c>
      <c r="B805" s="35">
        <v>241.38411716490924</v>
      </c>
      <c r="C805" s="35">
        <v>237.20747523222346</v>
      </c>
      <c r="D805" s="35">
        <v>207.73888828055797</v>
      </c>
      <c r="E805" s="35">
        <v>251.05648459928551</v>
      </c>
      <c r="F805" s="35">
        <v>241.39647627121005</v>
      </c>
      <c r="G805" s="35">
        <v>231.82247856567227</v>
      </c>
      <c r="H805" s="35">
        <v>248.73078407259354</v>
      </c>
      <c r="I805" s="35">
        <v>263.58366506975318</v>
      </c>
      <c r="J805" s="35">
        <v>274.55865191009576</v>
      </c>
      <c r="K805" s="35">
        <v>302.69367209233525</v>
      </c>
      <c r="L805" s="35">
        <v>330.19267467802962</v>
      </c>
    </row>
    <row r="806" spans="1:12">
      <c r="A806" s="35">
        <v>250.03489779218356</v>
      </c>
      <c r="B806" s="35">
        <v>244.7098020548232</v>
      </c>
      <c r="C806" s="35">
        <v>232.86063391321551</v>
      </c>
      <c r="D806" s="35">
        <v>244.38274341853554</v>
      </c>
      <c r="E806" s="35">
        <v>273.12419108185696</v>
      </c>
      <c r="F806" s="35">
        <v>243.99248531687908</v>
      </c>
      <c r="G806" s="35">
        <v>251.50464843100121</v>
      </c>
      <c r="H806" s="35">
        <v>273.99378415366931</v>
      </c>
      <c r="I806" s="35">
        <v>274.49314423662122</v>
      </c>
      <c r="J806" s="35">
        <v>293.73690584739717</v>
      </c>
      <c r="K806" s="35">
        <v>305.27865634356937</v>
      </c>
      <c r="L806" s="35">
        <v>362.55765569364229</v>
      </c>
    </row>
    <row r="807" spans="1:12">
      <c r="A807" s="35">
        <v>256.1065936236605</v>
      </c>
      <c r="B807" s="35">
        <v>271.55665954665551</v>
      </c>
      <c r="C807" s="35">
        <v>232.87347827150631</v>
      </c>
      <c r="D807" s="35">
        <v>230.22506776135893</v>
      </c>
      <c r="E807" s="35">
        <v>276.61719874127579</v>
      </c>
      <c r="F807" s="35">
        <v>266.98215262350573</v>
      </c>
      <c r="G807" s="35">
        <v>267.40877674242023</v>
      </c>
      <c r="H807" s="35">
        <v>265.8106369957261</v>
      </c>
      <c r="I807" s="35">
        <v>295.37462521842792</v>
      </c>
      <c r="J807" s="35">
        <v>294.79712575869911</v>
      </c>
      <c r="K807" s="35">
        <v>318.84963996072736</v>
      </c>
      <c r="L807" s="35">
        <v>381.78949469835385</v>
      </c>
    </row>
    <row r="808" spans="1:12">
      <c r="A808" s="35">
        <v>248.16914720014157</v>
      </c>
      <c r="B808" s="35">
        <v>267.25263087002685</v>
      </c>
      <c r="C808" s="35">
        <v>248.97094400548798</v>
      </c>
      <c r="D808" s="35">
        <v>237.97480940686367</v>
      </c>
      <c r="E808" s="35">
        <v>276.37799425697591</v>
      </c>
      <c r="F808" s="35">
        <v>258.28856703547973</v>
      </c>
      <c r="G808" s="35">
        <v>256.49668977625009</v>
      </c>
      <c r="H808" s="35">
        <v>266.7891151704481</v>
      </c>
      <c r="I808" s="35">
        <v>311.70898041060582</v>
      </c>
      <c r="J808" s="35">
        <v>328.47448704233267</v>
      </c>
      <c r="K808" s="35">
        <v>343.111546663436</v>
      </c>
      <c r="L808" s="35">
        <v>403.24989164731903</v>
      </c>
    </row>
    <row r="809" spans="1:12">
      <c r="A809" s="35">
        <v>234.89326503473976</v>
      </c>
      <c r="B809" s="35">
        <v>272.87264229801411</v>
      </c>
      <c r="C809" s="35">
        <v>240.81057283960132</v>
      </c>
      <c r="D809" s="35">
        <v>239.20018272338501</v>
      </c>
      <c r="E809" s="35">
        <v>292.49677762861972</v>
      </c>
      <c r="F809" s="35">
        <v>254.74160542424769</v>
      </c>
      <c r="G809" s="35">
        <v>249.89421021460876</v>
      </c>
      <c r="H809" s="35">
        <v>249.1317065682922</v>
      </c>
      <c r="I809" s="35">
        <v>269.21604115571802</v>
      </c>
      <c r="J809" s="35">
        <v>298.82418014570635</v>
      </c>
      <c r="K809" s="35">
        <v>301.79987049142278</v>
      </c>
      <c r="L809" s="35">
        <v>356.50118397194706</v>
      </c>
    </row>
    <row r="810" spans="1:12">
      <c r="A810" s="35">
        <v>252.12743721225161</v>
      </c>
      <c r="B810" s="35">
        <v>264.83295778610818</v>
      </c>
      <c r="C810" s="35">
        <v>240.34764124852404</v>
      </c>
      <c r="D810" s="35">
        <v>245.45160463054583</v>
      </c>
      <c r="E810" s="35">
        <v>283.56793785586274</v>
      </c>
      <c r="F810" s="35">
        <v>243.13022885924718</v>
      </c>
      <c r="G810" s="35">
        <v>248.06280122294766</v>
      </c>
      <c r="H810" s="35">
        <v>264.09041805937807</v>
      </c>
      <c r="I810" s="35">
        <v>278.41516823689796</v>
      </c>
      <c r="J810" s="35">
        <v>278.10853224941303</v>
      </c>
      <c r="K810" s="35">
        <v>310.43994730217025</v>
      </c>
      <c r="L810" s="35">
        <v>359.5969935323152</v>
      </c>
    </row>
    <row r="811" spans="1:12">
      <c r="A811" s="35">
        <v>242.3379371769995</v>
      </c>
      <c r="B811" s="35">
        <v>257.43787589363359</v>
      </c>
      <c r="C811" s="35">
        <v>243.53771732343677</v>
      </c>
      <c r="D811" s="35">
        <v>225.48329520132225</v>
      </c>
      <c r="E811" s="35">
        <v>271.14041531025714</v>
      </c>
      <c r="F811" s="35">
        <v>249.5726869630243</v>
      </c>
      <c r="G811" s="35">
        <v>255.4778394616516</v>
      </c>
      <c r="H811" s="35">
        <v>259.19216924167097</v>
      </c>
      <c r="I811" s="35">
        <v>296.84589871681908</v>
      </c>
      <c r="J811" s="35">
        <v>289.56675684230026</v>
      </c>
      <c r="K811" s="35">
        <v>308.7760611677312</v>
      </c>
      <c r="L811" s="35">
        <v>368.3493476755678</v>
      </c>
    </row>
    <row r="812" spans="1:12">
      <c r="A812" s="35">
        <v>264.69776141344943</v>
      </c>
      <c r="B812" s="35">
        <v>273.98822546142338</v>
      </c>
      <c r="C812" s="35">
        <v>250.31680961114279</v>
      </c>
      <c r="D812" s="35">
        <v>226.91871341486842</v>
      </c>
      <c r="E812" s="35">
        <v>302.3021978681906</v>
      </c>
      <c r="F812" s="35">
        <v>266.33050842097902</v>
      </c>
      <c r="G812" s="35">
        <v>273.59631838765046</v>
      </c>
      <c r="H812" s="35">
        <v>265.46282169103415</v>
      </c>
      <c r="I812" s="35">
        <v>298.28468040902334</v>
      </c>
      <c r="J812" s="35">
        <v>307.69063924429793</v>
      </c>
      <c r="K812" s="35">
        <v>334.51735718719021</v>
      </c>
      <c r="L812" s="35">
        <v>387.84763292844923</v>
      </c>
    </row>
    <row r="813" spans="1:12">
      <c r="A813" s="35">
        <v>242.43638556802566</v>
      </c>
      <c r="B813" s="35">
        <v>248.59162820484647</v>
      </c>
      <c r="C813" s="35">
        <v>232.24683055267391</v>
      </c>
      <c r="D813" s="35">
        <v>241.97683547477607</v>
      </c>
      <c r="E813" s="35">
        <v>268.88032562098135</v>
      </c>
      <c r="F813" s="35">
        <v>235.29131904873995</v>
      </c>
      <c r="G813" s="35">
        <v>250.03237516198504</v>
      </c>
      <c r="H813" s="35">
        <v>267.80698072679604</v>
      </c>
      <c r="I813" s="35">
        <v>281.4645212095682</v>
      </c>
      <c r="J813" s="35">
        <v>293.75707878152218</v>
      </c>
      <c r="K813" s="35">
        <v>302.65326722235483</v>
      </c>
      <c r="L813" s="35">
        <v>347.03740170606727</v>
      </c>
    </row>
    <row r="814" spans="1:12">
      <c r="A814" s="35">
        <v>244.69844138689416</v>
      </c>
      <c r="B814" s="35">
        <v>259.42671055959926</v>
      </c>
      <c r="C814" s="35">
        <v>238.32054752088874</v>
      </c>
      <c r="D814" s="35">
        <v>226.18358817782951</v>
      </c>
      <c r="E814" s="35">
        <v>273.64256825540627</v>
      </c>
      <c r="F814" s="35">
        <v>262.81585578353827</v>
      </c>
      <c r="G814" s="35">
        <v>252.70899074552622</v>
      </c>
      <c r="H814" s="35">
        <v>267.58804302568967</v>
      </c>
      <c r="I814" s="35">
        <v>292.05370874240305</v>
      </c>
      <c r="J814" s="35">
        <v>295.88753746822368</v>
      </c>
      <c r="K814" s="35">
        <v>322.28196250280109</v>
      </c>
      <c r="L814" s="35">
        <v>371.94679206915953</v>
      </c>
    </row>
    <row r="815" spans="1:12">
      <c r="A815" s="35">
        <v>278.13566067268874</v>
      </c>
      <c r="B815" s="35">
        <v>276.37598430402079</v>
      </c>
      <c r="C815" s="35">
        <v>258.10505888085197</v>
      </c>
      <c r="D815" s="35">
        <v>254.21752562028504</v>
      </c>
      <c r="E815" s="35">
        <v>278.04711233653558</v>
      </c>
      <c r="F815" s="35">
        <v>249.11455278348072</v>
      </c>
      <c r="G815" s="35">
        <v>258.92345476680021</v>
      </c>
      <c r="H815" s="35">
        <v>271.78336775109375</v>
      </c>
      <c r="I815" s="35">
        <v>293.51355507165357</v>
      </c>
      <c r="J815" s="35">
        <v>292.53142006409308</v>
      </c>
      <c r="K815" s="35">
        <v>312.54113532636916</v>
      </c>
      <c r="L815" s="35">
        <v>352.85473003461613</v>
      </c>
    </row>
    <row r="816" spans="1:12">
      <c r="A816" s="35">
        <v>242.53559593750239</v>
      </c>
      <c r="B816" s="35">
        <v>249.03826841667444</v>
      </c>
      <c r="C816" s="35">
        <v>226.74120912217575</v>
      </c>
      <c r="D816" s="35">
        <v>229.40768382908519</v>
      </c>
      <c r="E816" s="35">
        <v>268.45478750001905</v>
      </c>
      <c r="F816" s="35">
        <v>238.06417050036421</v>
      </c>
      <c r="G816" s="35">
        <v>238.82234859474931</v>
      </c>
      <c r="H816" s="35">
        <v>249.84315046200726</v>
      </c>
      <c r="I816" s="35">
        <v>275.83377459130315</v>
      </c>
      <c r="J816" s="35">
        <v>284.5927654728074</v>
      </c>
      <c r="K816" s="35">
        <v>300.24038082710518</v>
      </c>
      <c r="L816" s="35">
        <v>358.45268104720662</v>
      </c>
    </row>
    <row r="817" spans="1:12">
      <c r="A817" s="35">
        <v>229.57732045308822</v>
      </c>
      <c r="B817" s="35">
        <v>277.2741919219057</v>
      </c>
      <c r="C817" s="35">
        <v>253.6453259053828</v>
      </c>
      <c r="D817" s="35">
        <v>238.56525110422888</v>
      </c>
      <c r="E817" s="35">
        <v>288.41285984370757</v>
      </c>
      <c r="F817" s="35">
        <v>246.59426800111811</v>
      </c>
      <c r="G817" s="35">
        <v>251.23408040907492</v>
      </c>
      <c r="H817" s="35">
        <v>257.35622642239815</v>
      </c>
      <c r="I817" s="35">
        <v>297.67404210715239</v>
      </c>
      <c r="J817" s="35">
        <v>320.65941300433451</v>
      </c>
      <c r="K817" s="35">
        <v>322.92917674655024</v>
      </c>
      <c r="L817" s="35">
        <v>357.59591002024843</v>
      </c>
    </row>
    <row r="818" spans="1:12">
      <c r="A818" s="35">
        <v>264.93099111181181</v>
      </c>
      <c r="B818" s="35">
        <v>258.75202626781976</v>
      </c>
      <c r="C818" s="35">
        <v>240.87498235888813</v>
      </c>
      <c r="D818" s="35">
        <v>240.87598041205308</v>
      </c>
      <c r="E818" s="35">
        <v>280.95481998817348</v>
      </c>
      <c r="F818" s="35">
        <v>242.0138544323093</v>
      </c>
      <c r="G818" s="35">
        <v>245.35011467140166</v>
      </c>
      <c r="H818" s="35">
        <v>257.46720835683249</v>
      </c>
      <c r="I818" s="35">
        <v>255.57142244688418</v>
      </c>
      <c r="J818" s="35">
        <v>302.29510642487315</v>
      </c>
      <c r="K818" s="35">
        <v>307.00618799963786</v>
      </c>
      <c r="L818" s="35">
        <v>334.25220863339837</v>
      </c>
    </row>
    <row r="819" spans="1:12">
      <c r="A819" s="35">
        <v>246.29375205512795</v>
      </c>
      <c r="B819" s="35">
        <v>281.54813138678293</v>
      </c>
      <c r="C819" s="35">
        <v>240.10689128691089</v>
      </c>
      <c r="D819" s="35">
        <v>246.23012946823559</v>
      </c>
      <c r="E819" s="35">
        <v>281.37582630686376</v>
      </c>
      <c r="F819" s="35">
        <v>263.36428651663493</v>
      </c>
      <c r="G819" s="35">
        <v>254.11856320265593</v>
      </c>
      <c r="H819" s="35">
        <v>267.44669298714632</v>
      </c>
      <c r="I819" s="35">
        <v>296.16256146268358</v>
      </c>
      <c r="J819" s="35">
        <v>303.62719665346094</v>
      </c>
      <c r="K819" s="35">
        <v>345.76629118106683</v>
      </c>
      <c r="L819" s="35">
        <v>380.73246041901172</v>
      </c>
    </row>
    <row r="820" spans="1:12">
      <c r="A820" s="35">
        <v>244.1354530321077</v>
      </c>
      <c r="B820" s="35">
        <v>264.18077101947188</v>
      </c>
      <c r="C820" s="35">
        <v>247.10613784310962</v>
      </c>
      <c r="D820" s="35">
        <v>256.86513360886374</v>
      </c>
      <c r="E820" s="35">
        <v>280.42269741787572</v>
      </c>
      <c r="F820" s="35">
        <v>247.28166445252856</v>
      </c>
      <c r="G820" s="35">
        <v>256.47305875427878</v>
      </c>
      <c r="H820" s="35">
        <v>276.58246946177002</v>
      </c>
      <c r="I820" s="35">
        <v>298.5981435186435</v>
      </c>
      <c r="J820" s="35">
        <v>332.29665490784691</v>
      </c>
      <c r="K820" s="35">
        <v>358.02458079002889</v>
      </c>
      <c r="L820" s="35">
        <v>402.08019682864375</v>
      </c>
    </row>
    <row r="821" spans="1:12">
      <c r="A821" s="35">
        <v>237.32121341082126</v>
      </c>
      <c r="B821" s="35">
        <v>278.02028592741141</v>
      </c>
      <c r="C821" s="35">
        <v>233.31979683828118</v>
      </c>
      <c r="D821" s="35">
        <v>232.08803632939217</v>
      </c>
      <c r="E821" s="35">
        <v>282.13996097921284</v>
      </c>
      <c r="F821" s="35">
        <v>243.8637493633814</v>
      </c>
      <c r="G821" s="35">
        <v>276.89061527633379</v>
      </c>
      <c r="H821" s="35">
        <v>269.29028128606546</v>
      </c>
      <c r="I821" s="35">
        <v>275.09038186997907</v>
      </c>
      <c r="J821" s="35">
        <v>304.53371636198131</v>
      </c>
      <c r="K821" s="35">
        <v>312.17301221882497</v>
      </c>
      <c r="L821" s="35">
        <v>364.34707975063804</v>
      </c>
    </row>
    <row r="822" spans="1:12">
      <c r="A822" s="35">
        <v>250.07464171209745</v>
      </c>
      <c r="B822" s="35">
        <v>265.76901540407545</v>
      </c>
      <c r="C822" s="35">
        <v>238.9483273902062</v>
      </c>
      <c r="D822" s="35">
        <v>246.96982592206894</v>
      </c>
      <c r="E822" s="35">
        <v>301.02075531672369</v>
      </c>
      <c r="F822" s="35">
        <v>247.98262253709316</v>
      </c>
      <c r="G822" s="35">
        <v>252.72470279232977</v>
      </c>
      <c r="H822" s="35">
        <v>261.8126388437031</v>
      </c>
      <c r="I822" s="35">
        <v>283.15010814360306</v>
      </c>
      <c r="J822" s="35">
        <v>302.0502015439497</v>
      </c>
      <c r="K822" s="35">
        <v>316.14530222239097</v>
      </c>
      <c r="L822" s="35">
        <v>368.85563877175048</v>
      </c>
    </row>
    <row r="823" spans="1:12">
      <c r="A823" s="35">
        <v>244.80883867663721</v>
      </c>
      <c r="B823" s="35">
        <v>269.68787065296624</v>
      </c>
      <c r="C823" s="35">
        <v>242.89546840887311</v>
      </c>
      <c r="D823" s="35">
        <v>219.7670929872753</v>
      </c>
      <c r="E823" s="35">
        <v>273.82780658031976</v>
      </c>
      <c r="F823" s="35">
        <v>249.75147317701288</v>
      </c>
      <c r="G823" s="35">
        <v>245.36187806423482</v>
      </c>
      <c r="H823" s="35">
        <v>259.63097132427805</v>
      </c>
      <c r="I823" s="35">
        <v>292.0057306069603</v>
      </c>
      <c r="J823" s="35">
        <v>279.78432462179711</v>
      </c>
      <c r="K823" s="35">
        <v>306.66391804879771</v>
      </c>
      <c r="L823" s="35">
        <v>361.29614470785884</v>
      </c>
    </row>
    <row r="824" spans="1:12">
      <c r="A824" s="35">
        <v>233.63801439136543</v>
      </c>
      <c r="B824" s="35">
        <v>251.92676366546647</v>
      </c>
      <c r="C824" s="35">
        <v>247.78717511389587</v>
      </c>
      <c r="D824" s="35">
        <v>228.19802312832809</v>
      </c>
      <c r="E824" s="35">
        <v>264.42774092085921</v>
      </c>
      <c r="F824" s="35">
        <v>232.00966543993493</v>
      </c>
      <c r="G824" s="35">
        <v>251.73987592865564</v>
      </c>
      <c r="H824" s="35">
        <v>255.82211462848488</v>
      </c>
      <c r="I824" s="35">
        <v>287.07077053443965</v>
      </c>
      <c r="J824" s="35">
        <v>291.27122837968636</v>
      </c>
      <c r="K824" s="35">
        <v>296.83841741481859</v>
      </c>
      <c r="L824" s="35">
        <v>353.90208079864226</v>
      </c>
    </row>
    <row r="825" spans="1:12">
      <c r="A825" s="35">
        <v>247.86882847901001</v>
      </c>
      <c r="B825" s="35">
        <v>265.84148185229913</v>
      </c>
      <c r="C825" s="35">
        <v>248.03850756793139</v>
      </c>
      <c r="D825" s="35">
        <v>260.51576533559808</v>
      </c>
      <c r="E825" s="35">
        <v>286.74738661033183</v>
      </c>
      <c r="F825" s="35">
        <v>261.8819394402891</v>
      </c>
      <c r="G825" s="35">
        <v>286.15440459933006</v>
      </c>
      <c r="H825" s="35">
        <v>293.80005323235815</v>
      </c>
      <c r="I825" s="35">
        <v>308.73801636925361</v>
      </c>
      <c r="J825" s="35">
        <v>336.15381952962491</v>
      </c>
      <c r="K825" s="35">
        <v>366.68190264710859</v>
      </c>
      <c r="L825" s="35">
        <v>420.28638319974158</v>
      </c>
    </row>
    <row r="826" spans="1:12">
      <c r="A826" s="35">
        <v>249.40217886895377</v>
      </c>
      <c r="B826" s="35">
        <v>268.90003154095808</v>
      </c>
      <c r="C826" s="35">
        <v>258.90685922527535</v>
      </c>
      <c r="D826" s="35">
        <v>244.64847499040684</v>
      </c>
      <c r="E826" s="35">
        <v>306.89571982824884</v>
      </c>
      <c r="F826" s="35">
        <v>274.8043712374793</v>
      </c>
      <c r="G826" s="35">
        <v>286.28626415323748</v>
      </c>
      <c r="H826" s="35">
        <v>305.35305656785647</v>
      </c>
      <c r="I826" s="35">
        <v>348.66647071702698</v>
      </c>
      <c r="J826" s="35">
        <v>345.91865117624343</v>
      </c>
      <c r="K826" s="35">
        <v>379.09672861495568</v>
      </c>
      <c r="L826" s="35">
        <v>452.99684926404956</v>
      </c>
    </row>
    <row r="827" spans="1:12">
      <c r="A827" s="35">
        <v>235.07348457173663</v>
      </c>
      <c r="B827" s="35">
        <v>250.63141271235776</v>
      </c>
      <c r="C827" s="35">
        <v>233.82944446518476</v>
      </c>
      <c r="D827" s="35">
        <v>243.41202933745024</v>
      </c>
      <c r="E827" s="35">
        <v>287.06340852439035</v>
      </c>
      <c r="F827" s="35">
        <v>261.35091789575517</v>
      </c>
      <c r="G827" s="35">
        <v>247.74065019653193</v>
      </c>
      <c r="H827" s="35">
        <v>264.42628897433622</v>
      </c>
      <c r="I827" s="35">
        <v>284.27149530880342</v>
      </c>
      <c r="J827" s="35">
        <v>313.55055193182056</v>
      </c>
      <c r="K827" s="35">
        <v>324.15577992238786</v>
      </c>
      <c r="L827" s="35">
        <v>377.11718515006521</v>
      </c>
    </row>
    <row r="828" spans="1:12">
      <c r="A828" s="35">
        <v>254.13163064333543</v>
      </c>
      <c r="B828" s="35">
        <v>286.5309205181855</v>
      </c>
      <c r="C828" s="35">
        <v>242.56726045405736</v>
      </c>
      <c r="D828" s="35">
        <v>242.07296246868935</v>
      </c>
      <c r="E828" s="35">
        <v>302.77697438660311</v>
      </c>
      <c r="F828" s="35">
        <v>263.77824521683715</v>
      </c>
      <c r="G828" s="35">
        <v>269.0368034241518</v>
      </c>
      <c r="H828" s="35">
        <v>271.90487580402407</v>
      </c>
      <c r="I828" s="35">
        <v>307.21296307995027</v>
      </c>
      <c r="J828" s="35">
        <v>309.03179400438717</v>
      </c>
      <c r="K828" s="35">
        <v>342.14017207604707</v>
      </c>
      <c r="L828" s="35">
        <v>397.3877384546135</v>
      </c>
    </row>
    <row r="829" spans="1:12">
      <c r="A829" s="35">
        <v>265.34578550463192</v>
      </c>
      <c r="B829" s="35">
        <v>252.28139254636685</v>
      </c>
      <c r="C829" s="35">
        <v>241.56573189361592</v>
      </c>
      <c r="D829" s="35">
        <v>246.33812516408938</v>
      </c>
      <c r="E829" s="35">
        <v>274.57566793358797</v>
      </c>
      <c r="F829" s="35">
        <v>244.72662473065353</v>
      </c>
      <c r="G829" s="35">
        <v>249.45634582755758</v>
      </c>
      <c r="H829" s="35">
        <v>262.05191357325845</v>
      </c>
      <c r="I829" s="35">
        <v>284.25089648939064</v>
      </c>
      <c r="J829" s="35">
        <v>297.5885841612328</v>
      </c>
      <c r="K829" s="35">
        <v>297.36875040023449</v>
      </c>
      <c r="L829" s="35">
        <v>358.09075362546048</v>
      </c>
    </row>
    <row r="830" spans="1:12">
      <c r="A830" s="35">
        <v>247.48242497447052</v>
      </c>
      <c r="B830" s="35">
        <v>268.40258863545665</v>
      </c>
      <c r="C830" s="35">
        <v>259.3019623268064</v>
      </c>
      <c r="D830" s="35">
        <v>237.6643956503606</v>
      </c>
      <c r="E830" s="35">
        <v>289.06490357539644</v>
      </c>
      <c r="F830" s="35">
        <v>238.78393667034285</v>
      </c>
      <c r="G830" s="35">
        <v>266.61717936454409</v>
      </c>
      <c r="H830" s="35">
        <v>274.30359488301355</v>
      </c>
      <c r="I830" s="35">
        <v>285.7427789282001</v>
      </c>
      <c r="J830" s="35">
        <v>313.78783217996573</v>
      </c>
      <c r="K830" s="35">
        <v>316.4591102001462</v>
      </c>
      <c r="L830" s="35">
        <v>388.29214582522189</v>
      </c>
    </row>
    <row r="831" spans="1:12">
      <c r="A831" s="35">
        <v>236.77618481893029</v>
      </c>
      <c r="B831" s="35">
        <v>273.00623528908937</v>
      </c>
      <c r="C831" s="35">
        <v>254.58726691141717</v>
      </c>
      <c r="D831" s="35">
        <v>240.70537333510507</v>
      </c>
      <c r="E831" s="35">
        <v>284.32330211061236</v>
      </c>
      <c r="F831" s="35">
        <v>242.45953375810026</v>
      </c>
      <c r="G831" s="35">
        <v>260.3549721283494</v>
      </c>
      <c r="H831" s="35">
        <v>267.43141073165691</v>
      </c>
      <c r="I831" s="35">
        <v>291.19276995707605</v>
      </c>
      <c r="J831" s="35">
        <v>291.54440128988904</v>
      </c>
      <c r="K831" s="35">
        <v>307.52842961126726</v>
      </c>
      <c r="L831" s="35">
        <v>357.06950891071682</v>
      </c>
    </row>
    <row r="832" spans="1:12">
      <c r="A832" s="35">
        <v>250.1755783408417</v>
      </c>
      <c r="B832" s="35">
        <v>253.46947398005824</v>
      </c>
      <c r="C832" s="35">
        <v>236.96936804294211</v>
      </c>
      <c r="D832" s="35">
        <v>248.2538869055615</v>
      </c>
      <c r="E832" s="35">
        <v>266.83807940210738</v>
      </c>
      <c r="F832" s="35">
        <v>250.82905745630853</v>
      </c>
      <c r="G832" s="35">
        <v>254.08913837782674</v>
      </c>
      <c r="H832" s="35">
        <v>272.6527567621693</v>
      </c>
      <c r="I832" s="35">
        <v>289.37773621945001</v>
      </c>
      <c r="J832" s="35">
        <v>302.66879797000723</v>
      </c>
      <c r="K832" s="35">
        <v>316.5068524397546</v>
      </c>
      <c r="L832" s="35">
        <v>367.07435642451861</v>
      </c>
    </row>
    <row r="833" spans="1:12">
      <c r="A833" s="35">
        <v>260.24999432186314</v>
      </c>
      <c r="B833" s="35">
        <v>264.51268163999327</v>
      </c>
      <c r="C833" s="35">
        <v>239.82627696309908</v>
      </c>
      <c r="D833" s="35">
        <v>248.76343809676402</v>
      </c>
      <c r="E833" s="35">
        <v>295.45677429128563</v>
      </c>
      <c r="F833" s="35">
        <v>265.13557031081064</v>
      </c>
      <c r="G833" s="35">
        <v>271.4414247551527</v>
      </c>
      <c r="H833" s="35">
        <v>280.21245352893834</v>
      </c>
      <c r="I833" s="35">
        <v>275.96480143449867</v>
      </c>
      <c r="J833" s="35">
        <v>312.60290955117563</v>
      </c>
      <c r="K833" s="35">
        <v>330.07640310681228</v>
      </c>
      <c r="L833" s="35">
        <v>369.77719056559425</v>
      </c>
    </row>
    <row r="834" spans="1:12">
      <c r="A834" s="35">
        <v>250.53181550442793</v>
      </c>
      <c r="B834" s="35">
        <v>264.99165568877908</v>
      </c>
      <c r="C834" s="35">
        <v>240.33922320218801</v>
      </c>
      <c r="D834" s="35">
        <v>232.23949167337173</v>
      </c>
      <c r="E834" s="35">
        <v>290.14578114521004</v>
      </c>
      <c r="F834" s="35">
        <v>259.51775371311822</v>
      </c>
      <c r="G834" s="35">
        <v>264.45522240597626</v>
      </c>
      <c r="H834" s="35">
        <v>286.178640186449</v>
      </c>
      <c r="I834" s="35">
        <v>302.79562106862312</v>
      </c>
      <c r="J834" s="35">
        <v>313.89090328635149</v>
      </c>
      <c r="K834" s="35">
        <v>351.82813080935142</v>
      </c>
      <c r="L834" s="35">
        <v>406.19309370629202</v>
      </c>
    </row>
    <row r="835" spans="1:12">
      <c r="A835" s="35">
        <v>258.56169685257498</v>
      </c>
      <c r="B835" s="35">
        <v>291.8025011431879</v>
      </c>
      <c r="C835" s="35">
        <v>243.87116666174344</v>
      </c>
      <c r="D835" s="35">
        <v>251.52211707658802</v>
      </c>
      <c r="E835" s="35">
        <v>289.26128403734765</v>
      </c>
      <c r="F835" s="35">
        <v>278.90959788646973</v>
      </c>
      <c r="G835" s="35">
        <v>266.62089382251634</v>
      </c>
      <c r="H835" s="35">
        <v>299.7386396738487</v>
      </c>
      <c r="I835" s="35">
        <v>306.76438945564473</v>
      </c>
      <c r="J835" s="35">
        <v>295.52332031186967</v>
      </c>
      <c r="K835" s="35">
        <v>334.31574010380371</v>
      </c>
      <c r="L835" s="35">
        <v>385.59534453259727</v>
      </c>
    </row>
    <row r="836" spans="1:12">
      <c r="A836" s="35">
        <v>248.20710189468875</v>
      </c>
      <c r="B836" s="35">
        <v>270.52555842566397</v>
      </c>
      <c r="C836" s="35">
        <v>260.33930291959035</v>
      </c>
      <c r="D836" s="35">
        <v>259.70035906018745</v>
      </c>
      <c r="E836" s="35">
        <v>307.4420027751745</v>
      </c>
      <c r="F836" s="35">
        <v>279.62707022811946</v>
      </c>
      <c r="G836" s="35">
        <v>289.35462072317699</v>
      </c>
      <c r="H836" s="35">
        <v>280.4075224493933</v>
      </c>
      <c r="I836" s="35">
        <v>323.72384571070728</v>
      </c>
      <c r="J836" s="35">
        <v>333.42297836532356</v>
      </c>
      <c r="K836" s="35">
        <v>358.02498385276124</v>
      </c>
      <c r="L836" s="35">
        <v>432.42244684100734</v>
      </c>
    </row>
    <row r="837" spans="1:12">
      <c r="A837" s="35">
        <v>240.39137688529985</v>
      </c>
      <c r="B837" s="35">
        <v>264.73877328669698</v>
      </c>
      <c r="C837" s="35">
        <v>230.63753543635147</v>
      </c>
      <c r="D837" s="35">
        <v>241.90700012863203</v>
      </c>
      <c r="E837" s="35">
        <v>279.7040566658651</v>
      </c>
      <c r="F837" s="35">
        <v>234.50773684873295</v>
      </c>
      <c r="G837" s="35">
        <v>271.5987371362441</v>
      </c>
      <c r="H837" s="35">
        <v>282.89814701411746</v>
      </c>
      <c r="I837" s="35">
        <v>304.04210206669455</v>
      </c>
      <c r="J837" s="35">
        <v>309.9838833481711</v>
      </c>
      <c r="K837" s="35">
        <v>320.23794909762807</v>
      </c>
      <c r="L837" s="35">
        <v>367.8950906985869</v>
      </c>
    </row>
    <row r="838" spans="1:12">
      <c r="A838" s="35">
        <v>249.53811202764774</v>
      </c>
      <c r="B838" s="35">
        <v>271.73630224993116</v>
      </c>
      <c r="C838" s="35">
        <v>238.54552846939978</v>
      </c>
      <c r="D838" s="35">
        <v>236.35938702601408</v>
      </c>
      <c r="E838" s="35">
        <v>294.64841424296611</v>
      </c>
      <c r="F838" s="35">
        <v>253.06551745810663</v>
      </c>
      <c r="G838" s="35">
        <v>261.30600913859581</v>
      </c>
      <c r="H838" s="35">
        <v>279.44767683941723</v>
      </c>
      <c r="I838" s="35">
        <v>284.6364957295504</v>
      </c>
      <c r="J838" s="35">
        <v>319.52922469698325</v>
      </c>
      <c r="K838" s="35">
        <v>319.50454302603055</v>
      </c>
      <c r="L838" s="35">
        <v>364.97004811327668</v>
      </c>
    </row>
    <row r="839" spans="1:12">
      <c r="A839" s="35">
        <v>257.96550220624511</v>
      </c>
      <c r="B839" s="35">
        <v>270.92236758171259</v>
      </c>
      <c r="C839" s="35">
        <v>248.77370310207903</v>
      </c>
      <c r="D839" s="35">
        <v>260.54808665742837</v>
      </c>
      <c r="E839" s="35">
        <v>301.35106064227932</v>
      </c>
      <c r="F839" s="35">
        <v>272.08364026947942</v>
      </c>
      <c r="G839" s="35">
        <v>271.46025015686951</v>
      </c>
      <c r="H839" s="35">
        <v>275.3255645975014</v>
      </c>
      <c r="I839" s="35">
        <v>302.80065677944941</v>
      </c>
      <c r="J839" s="35">
        <v>320.4671815175077</v>
      </c>
      <c r="K839" s="35">
        <v>337.39602981833536</v>
      </c>
      <c r="L839" s="35">
        <v>397.22267439545419</v>
      </c>
    </row>
    <row r="840" spans="1:12">
      <c r="A840" s="35">
        <v>257.19378081710192</v>
      </c>
      <c r="B840" s="35">
        <v>284.25505205720532</v>
      </c>
      <c r="C840" s="35">
        <v>248.91663877189472</v>
      </c>
      <c r="D840" s="35">
        <v>270.7407960647127</v>
      </c>
      <c r="E840" s="35">
        <v>298.0816971180995</v>
      </c>
      <c r="F840" s="35">
        <v>262.96018061457727</v>
      </c>
      <c r="G840" s="35">
        <v>280.01582012779159</v>
      </c>
      <c r="H840" s="35">
        <v>299.43571087139554</v>
      </c>
      <c r="I840" s="35">
        <v>315.82026614495743</v>
      </c>
      <c r="J840" s="35">
        <v>342.69855938617985</v>
      </c>
      <c r="K840" s="35">
        <v>357.90487269256664</v>
      </c>
      <c r="L840" s="35">
        <v>421.78635905539016</v>
      </c>
    </row>
    <row r="841" spans="1:12">
      <c r="A841" s="35">
        <v>239.18484029359729</v>
      </c>
      <c r="B841" s="35">
        <v>260.60719721328712</v>
      </c>
      <c r="C841" s="35">
        <v>249.41173703343344</v>
      </c>
      <c r="D841" s="35">
        <v>252.38853953343653</v>
      </c>
      <c r="E841" s="35">
        <v>288.64914313658937</v>
      </c>
      <c r="F841" s="35">
        <v>250.57299838600525</v>
      </c>
      <c r="G841" s="35">
        <v>276.6585165487329</v>
      </c>
      <c r="H841" s="35">
        <v>278.20967801428498</v>
      </c>
      <c r="I841" s="35">
        <v>311.97321781270517</v>
      </c>
      <c r="J841" s="35">
        <v>317.93733191624619</v>
      </c>
      <c r="K841" s="35">
        <v>342.64413285407363</v>
      </c>
      <c r="L841" s="35">
        <v>386.1675477008277</v>
      </c>
    </row>
    <row r="842" spans="1:12">
      <c r="A842" s="35">
        <v>243.68759281579841</v>
      </c>
      <c r="B842" s="35">
        <v>251.31226953375125</v>
      </c>
      <c r="C842" s="35">
        <v>232.81682672330399</v>
      </c>
      <c r="D842" s="35">
        <v>220.89237227570112</v>
      </c>
      <c r="E842" s="35">
        <v>274.00457838109503</v>
      </c>
      <c r="F842" s="35">
        <v>228.38547402156695</v>
      </c>
      <c r="G842" s="35">
        <v>249.28649537094901</v>
      </c>
      <c r="H842" s="35">
        <v>248.14767977451953</v>
      </c>
      <c r="I842" s="35">
        <v>288.52587731336661</v>
      </c>
      <c r="J842" s="35">
        <v>287.66150057946328</v>
      </c>
      <c r="K842" s="35">
        <v>294.04838822388973</v>
      </c>
      <c r="L842" s="35">
        <v>333.77079799462052</v>
      </c>
    </row>
    <row r="843" spans="1:12">
      <c r="A843" s="35">
        <v>246.72582817635964</v>
      </c>
      <c r="B843" s="35">
        <v>243.53480363222423</v>
      </c>
      <c r="C843" s="35">
        <v>237.05877051814878</v>
      </c>
      <c r="D843" s="35">
        <v>239.28777492649144</v>
      </c>
      <c r="E843" s="35">
        <v>264.29685550151061</v>
      </c>
      <c r="F843" s="35">
        <v>238.38995791087447</v>
      </c>
      <c r="G843" s="35">
        <v>269.4300563919802</v>
      </c>
      <c r="H843" s="35">
        <v>257.94806753242045</v>
      </c>
      <c r="I843" s="35">
        <v>292.63366220647544</v>
      </c>
      <c r="J843" s="35">
        <v>308.84375737327576</v>
      </c>
      <c r="K843" s="35">
        <v>334.193669247961</v>
      </c>
      <c r="L843" s="35">
        <v>371.41350938680466</v>
      </c>
    </row>
    <row r="844" spans="1:12">
      <c r="A844" s="35">
        <v>250.81678796501868</v>
      </c>
      <c r="B844" s="35">
        <v>262.1573458567749</v>
      </c>
      <c r="C844" s="35">
        <v>253.36244995007311</v>
      </c>
      <c r="D844" s="35">
        <v>236.25976130718954</v>
      </c>
      <c r="E844" s="35">
        <v>292.62504540022036</v>
      </c>
      <c r="F844" s="35">
        <v>245.82409784576359</v>
      </c>
      <c r="G844" s="35">
        <v>269.40102177389372</v>
      </c>
      <c r="H844" s="35">
        <v>283.99883247447644</v>
      </c>
      <c r="I844" s="35">
        <v>309.80727611543938</v>
      </c>
      <c r="J844" s="35">
        <v>307.04267062055158</v>
      </c>
      <c r="K844" s="35">
        <v>322.52314759298628</v>
      </c>
      <c r="L844" s="35">
        <v>387.44717165009598</v>
      </c>
    </row>
    <row r="845" spans="1:12">
      <c r="A845" s="35">
        <v>234.8173061370363</v>
      </c>
      <c r="B845" s="35">
        <v>254.08729574136481</v>
      </c>
      <c r="C845" s="35">
        <v>251.39835698130739</v>
      </c>
      <c r="D845" s="35">
        <v>230.31120417278652</v>
      </c>
      <c r="E845" s="35">
        <v>276.38432104056318</v>
      </c>
      <c r="F845" s="35">
        <v>251.10809189893013</v>
      </c>
      <c r="G845" s="35">
        <v>260.01897796581125</v>
      </c>
      <c r="H845" s="35">
        <v>269.65103507060752</v>
      </c>
      <c r="I845" s="35">
        <v>308.66209064176337</v>
      </c>
      <c r="J845" s="35">
        <v>309.12271708248528</v>
      </c>
      <c r="K845" s="35">
        <v>323.65526530474108</v>
      </c>
      <c r="L845" s="35">
        <v>383.96604950457646</v>
      </c>
    </row>
    <row r="846" spans="1:12">
      <c r="A846" s="35">
        <v>247.78858976524413</v>
      </c>
      <c r="B846" s="35">
        <v>255.97143631927739</v>
      </c>
      <c r="C846" s="35">
        <v>225.93616092040608</v>
      </c>
      <c r="D846" s="35">
        <v>238.52347247983602</v>
      </c>
      <c r="E846" s="35">
        <v>266.29799927912501</v>
      </c>
      <c r="F846" s="35">
        <v>234.76210238376271</v>
      </c>
      <c r="G846" s="35">
        <v>238.59850247973426</v>
      </c>
      <c r="H846" s="35">
        <v>240.9072694185688</v>
      </c>
      <c r="I846" s="35">
        <v>261.26421681321966</v>
      </c>
      <c r="J846" s="35">
        <v>268.30103021000434</v>
      </c>
      <c r="K846" s="35">
        <v>304.69818697724486</v>
      </c>
      <c r="L846" s="35">
        <v>352.44901402323859</v>
      </c>
    </row>
    <row r="847" spans="1:12">
      <c r="A847" s="35">
        <v>244.26915548446561</v>
      </c>
      <c r="B847" s="35">
        <v>263.85400395808296</v>
      </c>
      <c r="C847" s="35">
        <v>256.01480229392774</v>
      </c>
      <c r="D847" s="35">
        <v>228.43734984459437</v>
      </c>
      <c r="E847" s="35">
        <v>268.9476327877714</v>
      </c>
      <c r="F847" s="35">
        <v>238.61725624433484</v>
      </c>
      <c r="G847" s="35">
        <v>243.29988657505743</v>
      </c>
      <c r="H847" s="35">
        <v>256.31657153238672</v>
      </c>
      <c r="I847" s="35">
        <v>259.31087273416853</v>
      </c>
      <c r="J847" s="35">
        <v>269.85023228129251</v>
      </c>
      <c r="K847" s="35">
        <v>270.96348045533057</v>
      </c>
      <c r="L847" s="35">
        <v>326.54634625480526</v>
      </c>
    </row>
    <row r="848" spans="1:12">
      <c r="A848" s="35">
        <v>241.45252386235745</v>
      </c>
      <c r="B848" s="35">
        <v>270.71809495575889</v>
      </c>
      <c r="C848" s="35">
        <v>230.69033359236798</v>
      </c>
      <c r="D848" s="35">
        <v>244.94491177212743</v>
      </c>
      <c r="E848" s="35">
        <v>284.50636120887134</v>
      </c>
      <c r="F848" s="35">
        <v>244.91202104440771</v>
      </c>
      <c r="G848" s="35">
        <v>239.90511432260627</v>
      </c>
      <c r="H848" s="35">
        <v>264.02459849613126</v>
      </c>
      <c r="I848" s="35">
        <v>277.80661519537387</v>
      </c>
      <c r="J848" s="35">
        <v>304.61894186024313</v>
      </c>
      <c r="K848" s="35">
        <v>315.5710747764316</v>
      </c>
      <c r="L848" s="35">
        <v>374.85375528569676</v>
      </c>
    </row>
    <row r="849" spans="1:12">
      <c r="A849" s="35">
        <v>228.80334261954368</v>
      </c>
      <c r="B849" s="35">
        <v>279.20104289935364</v>
      </c>
      <c r="C849" s="35">
        <v>237.09103755180431</v>
      </c>
      <c r="D849" s="35">
        <v>249.22463180142265</v>
      </c>
      <c r="E849" s="35">
        <v>257.93313376350176</v>
      </c>
      <c r="F849" s="35">
        <v>249.55683623816054</v>
      </c>
      <c r="G849" s="35">
        <v>259.2346807112018</v>
      </c>
      <c r="H849" s="35">
        <v>253.6221990704818</v>
      </c>
      <c r="I849" s="35">
        <v>289.78752204327714</v>
      </c>
      <c r="J849" s="35">
        <v>297.07063547016321</v>
      </c>
      <c r="K849" s="35">
        <v>327.95780147222791</v>
      </c>
      <c r="L849" s="35">
        <v>379.54478509568884</v>
      </c>
    </row>
    <row r="850" spans="1:12">
      <c r="A850" s="35">
        <v>243.39929992082853</v>
      </c>
      <c r="B850" s="35">
        <v>255.79750452647968</v>
      </c>
      <c r="C850" s="35">
        <v>253.62285165744544</v>
      </c>
      <c r="D850" s="35">
        <v>233.77172624374219</v>
      </c>
      <c r="E850" s="35">
        <v>286.7854971704748</v>
      </c>
      <c r="F850" s="35">
        <v>239.04799285734074</v>
      </c>
      <c r="G850" s="35">
        <v>261.12316608050702</v>
      </c>
      <c r="H850" s="35">
        <v>255.22299552783142</v>
      </c>
      <c r="I850" s="35">
        <v>298.73621008973504</v>
      </c>
      <c r="J850" s="35">
        <v>317.55254933222545</v>
      </c>
      <c r="K850" s="35">
        <v>320.35181469165281</v>
      </c>
      <c r="L850" s="35">
        <v>391.94414488514025</v>
      </c>
    </row>
    <row r="851" spans="1:12">
      <c r="A851" s="35">
        <v>231.3425340828006</v>
      </c>
      <c r="B851" s="35">
        <v>270.71387031061801</v>
      </c>
      <c r="C851" s="35">
        <v>220.6222509798755</v>
      </c>
      <c r="D851" s="35">
        <v>227.39019618605812</v>
      </c>
      <c r="E851" s="35">
        <v>281.3967313175857</v>
      </c>
      <c r="F851" s="35">
        <v>241.85228013313127</v>
      </c>
      <c r="G851" s="35">
        <v>262.46519327093887</v>
      </c>
      <c r="H851" s="35">
        <v>264.4008467577907</v>
      </c>
      <c r="I851" s="35">
        <v>281.45538057805629</v>
      </c>
      <c r="J851" s="35">
        <v>304.83013504517538</v>
      </c>
      <c r="K851" s="35">
        <v>290.50972501692019</v>
      </c>
      <c r="L851" s="35">
        <v>364.62706296005359</v>
      </c>
    </row>
    <row r="852" spans="1:12">
      <c r="A852" s="35">
        <v>255.3039623159066</v>
      </c>
      <c r="B852" s="35">
        <v>246.49765325415916</v>
      </c>
      <c r="C852" s="35">
        <v>251.77290216126841</v>
      </c>
      <c r="D852" s="35">
        <v>243.64935246149085</v>
      </c>
      <c r="E852" s="35">
        <v>285.03986090548221</v>
      </c>
      <c r="F852" s="35">
        <v>257.59321374871297</v>
      </c>
      <c r="G852" s="35">
        <v>259.40332197229571</v>
      </c>
      <c r="H852" s="35">
        <v>252.499418011719</v>
      </c>
      <c r="I852" s="35">
        <v>289.32763271298433</v>
      </c>
      <c r="J852" s="35">
        <v>279.06379518589858</v>
      </c>
      <c r="K852" s="35">
        <v>310.87768725479879</v>
      </c>
      <c r="L852" s="35">
        <v>362.08560800082711</v>
      </c>
    </row>
    <row r="853" spans="1:12">
      <c r="A853" s="35">
        <v>249.64598012431162</v>
      </c>
      <c r="B853" s="35">
        <v>271.86408534478176</v>
      </c>
      <c r="C853" s="35">
        <v>233.56494320073068</v>
      </c>
      <c r="D853" s="35">
        <v>225.68594877590431</v>
      </c>
      <c r="E853" s="35">
        <v>274.26456007207941</v>
      </c>
      <c r="F853" s="35">
        <v>256.73664656530616</v>
      </c>
      <c r="G853" s="35">
        <v>237.26527839497712</v>
      </c>
      <c r="H853" s="35">
        <v>252.29597613362736</v>
      </c>
      <c r="I853" s="35">
        <v>280.60050028167808</v>
      </c>
      <c r="J853" s="35">
        <v>276.09265142625731</v>
      </c>
      <c r="K853" s="35">
        <v>294.45241819518992</v>
      </c>
      <c r="L853" s="35">
        <v>338.86739456764718</v>
      </c>
    </row>
    <row r="854" spans="1:12">
      <c r="A854" s="35">
        <v>249.35629900614765</v>
      </c>
      <c r="B854" s="35">
        <v>261.34464492180678</v>
      </c>
      <c r="C854" s="35">
        <v>250.04927481795809</v>
      </c>
      <c r="D854" s="35">
        <v>236.18480785230136</v>
      </c>
      <c r="E854" s="35">
        <v>287.30720155625039</v>
      </c>
      <c r="F854" s="35">
        <v>243.89046940850108</v>
      </c>
      <c r="G854" s="35">
        <v>255.29670213518784</v>
      </c>
      <c r="H854" s="35">
        <v>252.89838439026917</v>
      </c>
      <c r="I854" s="35">
        <v>281.04424286593888</v>
      </c>
      <c r="J854" s="35">
        <v>296.68507299541284</v>
      </c>
      <c r="K854" s="35">
        <v>309.16789801460305</v>
      </c>
      <c r="L854" s="35">
        <v>362.15006712064888</v>
      </c>
    </row>
    <row r="855" spans="1:12">
      <c r="A855" s="35">
        <v>231.84472473966633</v>
      </c>
      <c r="B855" s="35">
        <v>255.13429175666317</v>
      </c>
      <c r="C855" s="35">
        <v>241.57131953046877</v>
      </c>
      <c r="D855" s="35">
        <v>227.34221183585112</v>
      </c>
      <c r="E855" s="35">
        <v>276.52451701908467</v>
      </c>
      <c r="F855" s="35">
        <v>248.84940326898524</v>
      </c>
      <c r="G855" s="35">
        <v>266.17143860146666</v>
      </c>
      <c r="H855" s="35">
        <v>264.21046478209638</v>
      </c>
      <c r="I855" s="35">
        <v>298.83634302163807</v>
      </c>
      <c r="J855" s="35">
        <v>317.22686205668589</v>
      </c>
      <c r="K855" s="35">
        <v>320.87585643575602</v>
      </c>
      <c r="L855" s="35">
        <v>369.66280741629009</v>
      </c>
    </row>
    <row r="856" spans="1:12">
      <c r="A856" s="35">
        <v>247.93507167984609</v>
      </c>
      <c r="B856" s="35">
        <v>268.87872076730889</v>
      </c>
      <c r="C856" s="35">
        <v>235.9439360260655</v>
      </c>
      <c r="D856" s="35">
        <v>274.90014522070692</v>
      </c>
      <c r="E856" s="35">
        <v>293.66580921076974</v>
      </c>
      <c r="F856" s="35">
        <v>257.22678044926039</v>
      </c>
      <c r="G856" s="35">
        <v>255.21505938140223</v>
      </c>
      <c r="H856" s="35">
        <v>280.64587242121485</v>
      </c>
      <c r="I856" s="35">
        <v>278.62871782271577</v>
      </c>
      <c r="J856" s="35">
        <v>301.84199585325365</v>
      </c>
      <c r="K856" s="35">
        <v>331.03874664748986</v>
      </c>
      <c r="L856" s="35">
        <v>376.4188092886742</v>
      </c>
    </row>
    <row r="857" spans="1:12">
      <c r="A857" s="35">
        <v>247.40269656349611</v>
      </c>
      <c r="B857" s="35">
        <v>254.93504581697499</v>
      </c>
      <c r="C857" s="35">
        <v>247.6115765744255</v>
      </c>
      <c r="D857" s="35">
        <v>233.55537907228052</v>
      </c>
      <c r="E857" s="35">
        <v>284.69673981459295</v>
      </c>
      <c r="F857" s="35">
        <v>244.59693304057259</v>
      </c>
      <c r="G857" s="35">
        <v>247.38670332432812</v>
      </c>
      <c r="H857" s="35">
        <v>264.82295530318589</v>
      </c>
      <c r="I857" s="35">
        <v>267.22541181431944</v>
      </c>
      <c r="J857" s="35">
        <v>286.88948956561086</v>
      </c>
      <c r="K857" s="35">
        <v>308.06506405981634</v>
      </c>
      <c r="L857" s="35">
        <v>359.7174143870393</v>
      </c>
    </row>
    <row r="858" spans="1:12">
      <c r="A858" s="35">
        <v>243.30821964039862</v>
      </c>
      <c r="B858" s="35">
        <v>266.87663250946417</v>
      </c>
      <c r="C858" s="35">
        <v>243.5442307587445</v>
      </c>
      <c r="D858" s="35">
        <v>237.15025737655461</v>
      </c>
      <c r="E858" s="35">
        <v>292.75394386841981</v>
      </c>
      <c r="F858" s="35">
        <v>255.87738878098344</v>
      </c>
      <c r="G858" s="35">
        <v>261.58971025470515</v>
      </c>
      <c r="H858" s="35">
        <v>284.49931657829353</v>
      </c>
      <c r="I858" s="35">
        <v>302.96833826801588</v>
      </c>
      <c r="J858" s="35">
        <v>329.64043242557983</v>
      </c>
      <c r="K858" s="35">
        <v>345.55920937787829</v>
      </c>
      <c r="L858" s="35">
        <v>410.95262447906231</v>
      </c>
    </row>
    <row r="859" spans="1:12">
      <c r="A859" s="35">
        <v>236.81720884567937</v>
      </c>
      <c r="B859" s="35">
        <v>273.68788979927263</v>
      </c>
      <c r="C859" s="35">
        <v>237.77657498653704</v>
      </c>
      <c r="D859" s="35">
        <v>257.27244245210636</v>
      </c>
      <c r="E859" s="35">
        <v>272.88084186505171</v>
      </c>
      <c r="F859" s="35">
        <v>253.19042094843545</v>
      </c>
      <c r="G859" s="35">
        <v>262.21883912388188</v>
      </c>
      <c r="H859" s="35">
        <v>264.98859120252985</v>
      </c>
      <c r="I859" s="35">
        <v>298.03905795984167</v>
      </c>
      <c r="J859" s="35">
        <v>307.78018660779082</v>
      </c>
      <c r="K859" s="35">
        <v>295.73518347211956</v>
      </c>
      <c r="L859" s="35">
        <v>352.42362785606139</v>
      </c>
    </row>
    <row r="860" spans="1:12">
      <c r="A860" s="35">
        <v>241.28295804922521</v>
      </c>
      <c r="B860" s="35">
        <v>254.82438198246874</v>
      </c>
      <c r="C860" s="35">
        <v>254.03529064073834</v>
      </c>
      <c r="D860" s="35">
        <v>227.39586596107816</v>
      </c>
      <c r="E860" s="35">
        <v>261.37344988877135</v>
      </c>
      <c r="F860" s="35">
        <v>231.46248303887953</v>
      </c>
      <c r="G860" s="35">
        <v>233.6278192859192</v>
      </c>
      <c r="H860" s="35">
        <v>253.19982187379597</v>
      </c>
      <c r="I860" s="35">
        <v>254.89271379883769</v>
      </c>
      <c r="J860" s="35">
        <v>274.16499768240755</v>
      </c>
      <c r="K860" s="35">
        <v>288.07410926534675</v>
      </c>
      <c r="L860" s="35">
        <v>352.56288291358459</v>
      </c>
    </row>
    <row r="861" spans="1:12">
      <c r="A861" s="35">
        <v>239.6090782202248</v>
      </c>
      <c r="B861" s="35">
        <v>253.86326625890979</v>
      </c>
      <c r="C861" s="35">
        <v>221.55023928412936</v>
      </c>
      <c r="D861" s="35">
        <v>221.12786307962836</v>
      </c>
      <c r="E861" s="35">
        <v>272.18063128609629</v>
      </c>
      <c r="F861" s="35">
        <v>210.12953265588831</v>
      </c>
      <c r="G861" s="35">
        <v>246.79031428573822</v>
      </c>
      <c r="H861" s="35">
        <v>239.35890619953079</v>
      </c>
      <c r="I861" s="35">
        <v>241.87095523890483</v>
      </c>
      <c r="J861" s="35">
        <v>273.89846045640047</v>
      </c>
      <c r="K861" s="35">
        <v>279.28672010817326</v>
      </c>
      <c r="L861" s="35">
        <v>311.30463321210613</v>
      </c>
    </row>
    <row r="862" spans="1:12">
      <c r="A862" s="35">
        <v>235.04371056001321</v>
      </c>
      <c r="B862" s="35">
        <v>276.15720753059782</v>
      </c>
      <c r="C862" s="35">
        <v>242.49408613914227</v>
      </c>
      <c r="D862" s="35">
        <v>238.51152859539241</v>
      </c>
      <c r="E862" s="35">
        <v>297.52885479217343</v>
      </c>
      <c r="F862" s="35">
        <v>249.3971379118731</v>
      </c>
      <c r="G862" s="35">
        <v>258.36307626812896</v>
      </c>
      <c r="H862" s="35">
        <v>270.56375543696419</v>
      </c>
      <c r="I862" s="35">
        <v>293.5607452172095</v>
      </c>
      <c r="J862" s="35">
        <v>294.93621607413871</v>
      </c>
      <c r="K862" s="35">
        <v>311.61873557922866</v>
      </c>
      <c r="L862" s="35">
        <v>365.03659414360334</v>
      </c>
    </row>
    <row r="863" spans="1:12">
      <c r="A863" s="35">
        <v>233.2815649822505</v>
      </c>
      <c r="B863" s="35">
        <v>264.55538769616351</v>
      </c>
      <c r="C863" s="35">
        <v>237.42570346238986</v>
      </c>
      <c r="D863" s="35">
        <v>225.51499498285887</v>
      </c>
      <c r="E863" s="35">
        <v>252.23798226780707</v>
      </c>
      <c r="F863" s="35">
        <v>235.21794850417413</v>
      </c>
      <c r="G863" s="35">
        <v>242.31634133090162</v>
      </c>
      <c r="H863" s="35">
        <v>244.58327789496229</v>
      </c>
      <c r="I863" s="35">
        <v>276.82916769344547</v>
      </c>
      <c r="J863" s="35">
        <v>291.37307101674463</v>
      </c>
      <c r="K863" s="35">
        <v>303.49543688201265</v>
      </c>
      <c r="L863" s="35">
        <v>344.14404798363904</v>
      </c>
    </row>
    <row r="864" spans="1:12">
      <c r="A864" s="35">
        <v>267.14529161769337</v>
      </c>
      <c r="B864" s="35">
        <v>267.97449907663429</v>
      </c>
      <c r="C864" s="35">
        <v>259.75887707075896</v>
      </c>
      <c r="D864" s="35">
        <v>247.55638875135313</v>
      </c>
      <c r="E864" s="35">
        <v>287.08885744878802</v>
      </c>
      <c r="F864" s="35">
        <v>252.99266050918172</v>
      </c>
      <c r="G864" s="35">
        <v>263.38017087137956</v>
      </c>
      <c r="H864" s="35">
        <v>292.2346102056735</v>
      </c>
      <c r="I864" s="35">
        <v>309.60068094844496</v>
      </c>
      <c r="J864" s="35">
        <v>322.32019709512366</v>
      </c>
      <c r="K864" s="35">
        <v>334.27192648020718</v>
      </c>
      <c r="L864" s="35">
        <v>394.64284161689318</v>
      </c>
    </row>
    <row r="865" spans="1:12">
      <c r="A865" s="35">
        <v>229.71371564212177</v>
      </c>
      <c r="B865" s="35">
        <v>254.76416257631641</v>
      </c>
      <c r="C865" s="35">
        <v>236.9816539284927</v>
      </c>
      <c r="D865" s="35">
        <v>218.80535216782135</v>
      </c>
      <c r="E865" s="35">
        <v>271.81926919003701</v>
      </c>
      <c r="F865" s="35">
        <v>241.00795926309425</v>
      </c>
      <c r="G865" s="35">
        <v>245.55342913385672</v>
      </c>
      <c r="H865" s="35">
        <v>251.49677360463164</v>
      </c>
      <c r="I865" s="35">
        <v>256.93826633843554</v>
      </c>
      <c r="J865" s="35">
        <v>276.20064155635856</v>
      </c>
      <c r="K865" s="35">
        <v>278.6042957087426</v>
      </c>
      <c r="L865" s="35">
        <v>352.30063076272592</v>
      </c>
    </row>
    <row r="866" spans="1:12">
      <c r="A866" s="35">
        <v>244.75924491651111</v>
      </c>
      <c r="B866" s="35">
        <v>257.97041720878042</v>
      </c>
      <c r="C866" s="35">
        <v>220.32575363522628</v>
      </c>
      <c r="D866" s="35">
        <v>230.40009655837699</v>
      </c>
      <c r="E866" s="35">
        <v>244.35290503494315</v>
      </c>
      <c r="F866" s="35">
        <v>227.21870671963785</v>
      </c>
      <c r="G866" s="35">
        <v>236.45708864699881</v>
      </c>
      <c r="H866" s="35">
        <v>232.91599275892975</v>
      </c>
      <c r="I866" s="35">
        <v>256.16164834312553</v>
      </c>
      <c r="J866" s="35">
        <v>274.38936607950109</v>
      </c>
      <c r="K866" s="35">
        <v>290.88141422095345</v>
      </c>
      <c r="L866" s="35">
        <v>333.97986358687729</v>
      </c>
    </row>
    <row r="867" spans="1:12">
      <c r="A867" s="35">
        <v>242.59512775789372</v>
      </c>
      <c r="B867" s="35">
        <v>255.5340274561886</v>
      </c>
      <c r="C867" s="35">
        <v>235.09704695848532</v>
      </c>
      <c r="D867" s="35">
        <v>236.44184603118867</v>
      </c>
      <c r="E867" s="35">
        <v>284.48957683534923</v>
      </c>
      <c r="F867" s="35">
        <v>240.74222069894995</v>
      </c>
      <c r="G867" s="35">
        <v>244.93746917625742</v>
      </c>
      <c r="H867" s="35">
        <v>245.51905218867245</v>
      </c>
      <c r="I867" s="35">
        <v>275.54928160726178</v>
      </c>
      <c r="J867" s="35">
        <v>286.47911819709083</v>
      </c>
      <c r="K867" s="35">
        <v>281.17064325067059</v>
      </c>
      <c r="L867" s="35">
        <v>323.31069741320204</v>
      </c>
    </row>
    <row r="868" spans="1:12">
      <c r="A868" s="35">
        <v>229.97661440956935</v>
      </c>
      <c r="B868" s="35">
        <v>261.27417243475702</v>
      </c>
      <c r="C868" s="35">
        <v>218.67069612310675</v>
      </c>
      <c r="D868" s="35">
        <v>240.62676016932343</v>
      </c>
      <c r="E868" s="35">
        <v>270.36566731431714</v>
      </c>
      <c r="F868" s="35">
        <v>232.65211653294199</v>
      </c>
      <c r="G868" s="35">
        <v>259.31065345098142</v>
      </c>
      <c r="H868" s="35">
        <v>249.02436089551583</v>
      </c>
      <c r="I868" s="35">
        <v>280.43176885002237</v>
      </c>
      <c r="J868" s="35">
        <v>289.00657529464866</v>
      </c>
      <c r="K868" s="35">
        <v>290.84651685953185</v>
      </c>
      <c r="L868" s="35">
        <v>334.74803766419075</v>
      </c>
    </row>
    <row r="869" spans="1:12">
      <c r="A869" s="35">
        <v>243.99796973863849</v>
      </c>
      <c r="B869" s="35">
        <v>272.83848759355089</v>
      </c>
      <c r="C869" s="35">
        <v>240.59660858310207</v>
      </c>
      <c r="D869" s="35">
        <v>249.12081002355126</v>
      </c>
      <c r="E869" s="35">
        <v>264.82811163916858</v>
      </c>
      <c r="F869" s="35">
        <v>254.40697891993327</v>
      </c>
      <c r="G869" s="35">
        <v>240.56033715953203</v>
      </c>
      <c r="H869" s="35">
        <v>260.90776499784835</v>
      </c>
      <c r="I869" s="35">
        <v>279.29558692721355</v>
      </c>
      <c r="J869" s="35">
        <v>268.81873757951234</v>
      </c>
      <c r="K869" s="35">
        <v>311.27936777179156</v>
      </c>
      <c r="L869" s="35">
        <v>342.46119586367837</v>
      </c>
    </row>
    <row r="870" spans="1:12">
      <c r="A870" s="35">
        <v>241.90216992765139</v>
      </c>
      <c r="B870" s="35">
        <v>283.84233486779897</v>
      </c>
      <c r="C870" s="35">
        <v>244.06963156986768</v>
      </c>
      <c r="D870" s="35">
        <v>244.27445052680696</v>
      </c>
      <c r="E870" s="35">
        <v>279.94035075603369</v>
      </c>
      <c r="F870" s="35">
        <v>261.18736324348805</v>
      </c>
      <c r="G870" s="35">
        <v>251.20730292439657</v>
      </c>
      <c r="H870" s="35">
        <v>257.95806204153706</v>
      </c>
      <c r="I870" s="35">
        <v>298.7848806052267</v>
      </c>
      <c r="J870" s="35">
        <v>299.69729276215179</v>
      </c>
      <c r="K870" s="35">
        <v>317.66111671734103</v>
      </c>
      <c r="L870" s="35">
        <v>373.66049821193587</v>
      </c>
    </row>
    <row r="871" spans="1:12">
      <c r="A871" s="35">
        <v>249.69964699039366</v>
      </c>
      <c r="B871" s="35">
        <v>249.22056944042507</v>
      </c>
      <c r="C871" s="35">
        <v>253.68219716781732</v>
      </c>
      <c r="D871" s="35">
        <v>225.89833861521277</v>
      </c>
      <c r="E871" s="35">
        <v>261.70622912930605</v>
      </c>
      <c r="F871" s="35">
        <v>227.70266947998573</v>
      </c>
      <c r="G871" s="35">
        <v>219.55414291474528</v>
      </c>
      <c r="H871" s="35">
        <v>235.32008373220469</v>
      </c>
      <c r="I871" s="35">
        <v>244.02834130685318</v>
      </c>
      <c r="J871" s="35">
        <v>249.48262699325895</v>
      </c>
      <c r="K871" s="35">
        <v>264.72860207456677</v>
      </c>
      <c r="L871" s="35">
        <v>307.49735508460759</v>
      </c>
    </row>
    <row r="872" spans="1:12">
      <c r="A872" s="35">
        <v>227.6648373562613</v>
      </c>
      <c r="B872" s="35">
        <v>256.4903307378566</v>
      </c>
      <c r="C872" s="35">
        <v>237.92831189450828</v>
      </c>
      <c r="D872" s="35">
        <v>239.32500777018964</v>
      </c>
      <c r="E872" s="35">
        <v>273.41264340167885</v>
      </c>
      <c r="F872" s="35">
        <v>227.4478999627585</v>
      </c>
      <c r="G872" s="35">
        <v>239.64122179448626</v>
      </c>
      <c r="H872" s="35">
        <v>250.64918801260274</v>
      </c>
      <c r="I872" s="35">
        <v>276.4136419189864</v>
      </c>
      <c r="J872" s="35">
        <v>284.62558881539491</v>
      </c>
      <c r="K872" s="35">
        <v>289.23323354569129</v>
      </c>
      <c r="L872" s="35">
        <v>341.3364499044535</v>
      </c>
    </row>
    <row r="873" spans="1:12">
      <c r="A873" s="35">
        <v>251.46354845947036</v>
      </c>
      <c r="B873" s="35">
        <v>256.3170106228979</v>
      </c>
      <c r="C873" s="35">
        <v>227.35142452474651</v>
      </c>
      <c r="D873" s="35">
        <v>237.15642742444089</v>
      </c>
      <c r="E873" s="35">
        <v>271.633559382486</v>
      </c>
      <c r="F873" s="35">
        <v>234.94598371272136</v>
      </c>
      <c r="G873" s="35">
        <v>244.86524721348835</v>
      </c>
      <c r="H873" s="35">
        <v>264.04595908552164</v>
      </c>
      <c r="I873" s="35">
        <v>273.32704750868112</v>
      </c>
      <c r="J873" s="35">
        <v>284.30471351031417</v>
      </c>
      <c r="K873" s="35">
        <v>291.40573985431217</v>
      </c>
      <c r="L873" s="35">
        <v>341.61036568493574</v>
      </c>
    </row>
    <row r="874" spans="1:12">
      <c r="A874" s="35">
        <v>242.7115179651114</v>
      </c>
      <c r="B874" s="35">
        <v>261.34256647553377</v>
      </c>
      <c r="C874" s="35">
        <v>223.1461510376798</v>
      </c>
      <c r="D874" s="35">
        <v>227.19612275670062</v>
      </c>
      <c r="E874" s="35">
        <v>271.0772068977854</v>
      </c>
      <c r="F874" s="35">
        <v>244.5038214713399</v>
      </c>
      <c r="G874" s="35">
        <v>250.9719726825692</v>
      </c>
      <c r="H874" s="35">
        <v>263.38794198183348</v>
      </c>
      <c r="I874" s="35">
        <v>283.0284700006253</v>
      </c>
      <c r="J874" s="35">
        <v>289.90401027526764</v>
      </c>
      <c r="K874" s="35">
        <v>322.03673163776784</v>
      </c>
      <c r="L874" s="35">
        <v>363.18947658955284</v>
      </c>
    </row>
    <row r="875" spans="1:12">
      <c r="A875" s="35">
        <v>233.4338369336258</v>
      </c>
      <c r="B875" s="35">
        <v>276.72182414928352</v>
      </c>
      <c r="C875" s="35">
        <v>227.96673155222697</v>
      </c>
      <c r="D875" s="35">
        <v>242.38949685603072</v>
      </c>
      <c r="E875" s="35">
        <v>290.27128366294386</v>
      </c>
      <c r="F875" s="35">
        <v>241.82636392708429</v>
      </c>
      <c r="G875" s="35">
        <v>260.95686900720636</v>
      </c>
      <c r="H875" s="35">
        <v>277.88149097187051</v>
      </c>
      <c r="I875" s="35">
        <v>289.73490874781993</v>
      </c>
      <c r="J875" s="35">
        <v>309.60895179704801</v>
      </c>
      <c r="K875" s="35">
        <v>308.68384563402702</v>
      </c>
      <c r="L875" s="35">
        <v>370.51555317425891</v>
      </c>
    </row>
    <row r="876" spans="1:12">
      <c r="A876" s="35">
        <v>240.41080488890083</v>
      </c>
      <c r="B876" s="35">
        <v>252.68684373270673</v>
      </c>
      <c r="C876" s="35">
        <v>236.27398883839595</v>
      </c>
      <c r="D876" s="35">
        <v>237.53046323894279</v>
      </c>
      <c r="E876" s="35">
        <v>260.29724168603542</v>
      </c>
      <c r="F876" s="35">
        <v>248.96453723908306</v>
      </c>
      <c r="G876" s="35">
        <v>247.84606348552046</v>
      </c>
      <c r="H876" s="35">
        <v>239.59877115261429</v>
      </c>
      <c r="I876" s="35">
        <v>273.50066590173896</v>
      </c>
      <c r="J876" s="35">
        <v>286.4881807790731</v>
      </c>
      <c r="K876" s="35">
        <v>310.01763985155225</v>
      </c>
      <c r="L876" s="35">
        <v>357.66865956841463</v>
      </c>
    </row>
    <row r="877" spans="1:12">
      <c r="A877" s="35">
        <v>253.76865961274959</v>
      </c>
      <c r="B877" s="35">
        <v>269.40763646808881</v>
      </c>
      <c r="C877" s="35">
        <v>242.4519094787282</v>
      </c>
      <c r="D877" s="35">
        <v>258.60498504575213</v>
      </c>
      <c r="E877" s="35">
        <v>298.51594797320229</v>
      </c>
      <c r="F877" s="35">
        <v>256.23592484317362</v>
      </c>
      <c r="G877" s="35">
        <v>270.16797312236815</v>
      </c>
      <c r="H877" s="35">
        <v>270.34840979559692</v>
      </c>
      <c r="I877" s="35">
        <v>300.93712101925064</v>
      </c>
      <c r="J877" s="35">
        <v>330.34852703404164</v>
      </c>
      <c r="K877" s="35">
        <v>336.50793188965832</v>
      </c>
      <c r="L877" s="35">
        <v>395.72879725521534</v>
      </c>
    </row>
    <row r="878" spans="1:12">
      <c r="A878" s="35">
        <v>252.76272562001688</v>
      </c>
      <c r="B878" s="35">
        <v>243.78587079017004</v>
      </c>
      <c r="C878" s="35">
        <v>237.54861370158542</v>
      </c>
      <c r="D878" s="35">
        <v>242.90960612611727</v>
      </c>
      <c r="E878" s="35">
        <v>257.75034337840816</v>
      </c>
      <c r="F878" s="35">
        <v>259.6874788328779</v>
      </c>
      <c r="G878" s="35">
        <v>254.68128332533846</v>
      </c>
      <c r="H878" s="35">
        <v>241.02110500227138</v>
      </c>
      <c r="I878" s="35">
        <v>274.99587038334403</v>
      </c>
      <c r="J878" s="35">
        <v>302.79675642220127</v>
      </c>
      <c r="K878" s="35">
        <v>285.74555953120716</v>
      </c>
      <c r="L878" s="35">
        <v>345.1225956091593</v>
      </c>
    </row>
    <row r="879" spans="1:12">
      <c r="A879" s="35">
        <v>231.42437200049298</v>
      </c>
      <c r="B879" s="35">
        <v>253.76716701174917</v>
      </c>
      <c r="C879" s="35">
        <v>236.04401627419477</v>
      </c>
      <c r="D879" s="35">
        <v>220.12012119575073</v>
      </c>
      <c r="E879" s="35">
        <v>272.89868355112981</v>
      </c>
      <c r="F879" s="35">
        <v>226.35793582754187</v>
      </c>
      <c r="G879" s="35">
        <v>259.2096263361978</v>
      </c>
      <c r="H879" s="35">
        <v>248.91118378597847</v>
      </c>
      <c r="I879" s="35">
        <v>279.25441722451779</v>
      </c>
      <c r="J879" s="35">
        <v>272.66985310988656</v>
      </c>
      <c r="K879" s="35">
        <v>294.8704256480853</v>
      </c>
      <c r="L879" s="35">
        <v>335.92485823854099</v>
      </c>
    </row>
    <row r="880" spans="1:12">
      <c r="A880" s="35">
        <v>264.60639890368873</v>
      </c>
      <c r="B880" s="35">
        <v>284.91521090574054</v>
      </c>
      <c r="C880" s="35">
        <v>249.34152148298108</v>
      </c>
      <c r="D880" s="35">
        <v>257.23492168566787</v>
      </c>
      <c r="E880" s="35">
        <v>287.60301815941818</v>
      </c>
      <c r="F880" s="35">
        <v>253.7450857221354</v>
      </c>
      <c r="G880" s="35">
        <v>281.56585047728578</v>
      </c>
      <c r="H880" s="35">
        <v>274.01743809248904</v>
      </c>
      <c r="I880" s="35">
        <v>326.39736669355818</v>
      </c>
      <c r="J880" s="35">
        <v>323.66455730484296</v>
      </c>
      <c r="K880" s="35">
        <v>345.23707874800022</v>
      </c>
      <c r="L880" s="35">
        <v>382.10497876696365</v>
      </c>
    </row>
    <row r="881" spans="1:12">
      <c r="A881" s="35">
        <v>253.41645216659984</v>
      </c>
      <c r="B881" s="35">
        <v>255.96971287454872</v>
      </c>
      <c r="C881" s="35">
        <v>246.69405510196052</v>
      </c>
      <c r="D881" s="35">
        <v>241.41663164840514</v>
      </c>
      <c r="E881" s="35">
        <v>284.94009832449677</v>
      </c>
      <c r="F881" s="35">
        <v>254.18586724942406</v>
      </c>
      <c r="G881" s="35">
        <v>263.68444898356057</v>
      </c>
      <c r="H881" s="35">
        <v>276.17167915511413</v>
      </c>
      <c r="I881" s="35">
        <v>305.69407609817654</v>
      </c>
      <c r="J881" s="35">
        <v>302.65974011382849</v>
      </c>
      <c r="K881" s="35">
        <v>327.59579019786923</v>
      </c>
      <c r="L881" s="35">
        <v>387.50686110400204</v>
      </c>
    </row>
    <row r="882" spans="1:12">
      <c r="A882" s="35">
        <v>231.71587300525826</v>
      </c>
      <c r="B882" s="35">
        <v>249.21879776634239</v>
      </c>
      <c r="C882" s="35">
        <v>226.65229066772497</v>
      </c>
      <c r="D882" s="35">
        <v>232.94082568762863</v>
      </c>
      <c r="E882" s="35">
        <v>263.74812089552506</v>
      </c>
      <c r="F882" s="35">
        <v>226.41019416546632</v>
      </c>
      <c r="G882" s="35">
        <v>238.12086306309047</v>
      </c>
      <c r="H882" s="35">
        <v>235.35009267997759</v>
      </c>
      <c r="I882" s="35">
        <v>271.26657529314008</v>
      </c>
      <c r="J882" s="35">
        <v>292.04227197436234</v>
      </c>
      <c r="K882" s="35">
        <v>278.59295106583841</v>
      </c>
      <c r="L882" s="35">
        <v>347.95250909868417</v>
      </c>
    </row>
    <row r="883" spans="1:12">
      <c r="A883" s="35">
        <v>238.32835815278574</v>
      </c>
      <c r="B883" s="35">
        <v>264.3349265639032</v>
      </c>
      <c r="C883" s="35">
        <v>241.71125370523188</v>
      </c>
      <c r="D883" s="35">
        <v>259.81743041008275</v>
      </c>
      <c r="E883" s="35">
        <v>293.24451480029057</v>
      </c>
      <c r="F883" s="35">
        <v>266.68559600386516</v>
      </c>
      <c r="G883" s="35">
        <v>278.36034766094826</v>
      </c>
      <c r="H883" s="35">
        <v>281.75537860021552</v>
      </c>
      <c r="I883" s="35">
        <v>306.68377241204269</v>
      </c>
      <c r="J883" s="35">
        <v>321.54648047685441</v>
      </c>
      <c r="K883" s="35">
        <v>341.57350397483333</v>
      </c>
      <c r="L883" s="35">
        <v>400.74707141152078</v>
      </c>
    </row>
    <row r="884" spans="1:12">
      <c r="A884" s="35">
        <v>257.17444617076217</v>
      </c>
      <c r="B884" s="35">
        <v>250.77513920470395</v>
      </c>
      <c r="C884" s="35">
        <v>218.54355108735516</v>
      </c>
      <c r="D884" s="35">
        <v>218.08940517099734</v>
      </c>
      <c r="E884" s="35">
        <v>291.26634506172081</v>
      </c>
      <c r="F884" s="35">
        <v>242.62861351139446</v>
      </c>
      <c r="G884" s="35">
        <v>238.84343611525691</v>
      </c>
      <c r="H884" s="35">
        <v>243.04603110904753</v>
      </c>
      <c r="I884" s="35">
        <v>253.66284020829815</v>
      </c>
      <c r="J884" s="35">
        <v>284.77913857434584</v>
      </c>
      <c r="K884" s="35">
        <v>302.85633982161539</v>
      </c>
      <c r="L884" s="35">
        <v>337.59680959910355</v>
      </c>
    </row>
    <row r="885" spans="1:12">
      <c r="A885" s="35">
        <v>237.35412931522384</v>
      </c>
      <c r="B885" s="35">
        <v>256.35390644117183</v>
      </c>
      <c r="C885" s="35">
        <v>226.91775276469224</v>
      </c>
      <c r="D885" s="35">
        <v>220.13133402199824</v>
      </c>
      <c r="E885" s="35">
        <v>261.38678720305609</v>
      </c>
      <c r="F885" s="35">
        <v>241.06841441285545</v>
      </c>
      <c r="G885" s="35">
        <v>254.05888815550827</v>
      </c>
      <c r="H885" s="35">
        <v>261.30496024873565</v>
      </c>
      <c r="I885" s="35">
        <v>281.98539806511957</v>
      </c>
      <c r="J885" s="35">
        <v>295.77935959517259</v>
      </c>
      <c r="K885" s="35">
        <v>303.12295449900836</v>
      </c>
      <c r="L885" s="35">
        <v>365.87353878339928</v>
      </c>
    </row>
    <row r="886" spans="1:12">
      <c r="A886" s="35">
        <v>230.1300739321147</v>
      </c>
      <c r="B886" s="35">
        <v>267.17644393499347</v>
      </c>
      <c r="C886" s="35">
        <v>258.05733023064801</v>
      </c>
      <c r="D886" s="35">
        <v>247.287975970958</v>
      </c>
      <c r="E886" s="35">
        <v>296.24473911716638</v>
      </c>
      <c r="F886" s="35">
        <v>256.87336264134035</v>
      </c>
      <c r="G886" s="35">
        <v>266.70866053494564</v>
      </c>
      <c r="H886" s="35">
        <v>303.89159159815688</v>
      </c>
      <c r="I886" s="35">
        <v>303.91501883675375</v>
      </c>
      <c r="J886" s="35">
        <v>304.0619630084326</v>
      </c>
      <c r="K886" s="35">
        <v>343.01426198124915</v>
      </c>
      <c r="L886" s="35">
        <v>397.68746572739616</v>
      </c>
    </row>
    <row r="887" spans="1:12">
      <c r="A887" s="35">
        <v>237.41466381916757</v>
      </c>
      <c r="B887" s="35">
        <v>245.98298856541371</v>
      </c>
      <c r="C887" s="35">
        <v>229.3396935765802</v>
      </c>
      <c r="D887" s="35">
        <v>220.76837771873303</v>
      </c>
      <c r="E887" s="35">
        <v>250.12372526732545</v>
      </c>
      <c r="F887" s="35">
        <v>226.69679184032989</v>
      </c>
      <c r="G887" s="35">
        <v>227.05484066455276</v>
      </c>
      <c r="H887" s="35">
        <v>228.431481374947</v>
      </c>
      <c r="I887" s="35">
        <v>259.55953881099782</v>
      </c>
      <c r="J887" s="35">
        <v>257.24849036559959</v>
      </c>
      <c r="K887" s="35">
        <v>274.88678426046158</v>
      </c>
      <c r="L887" s="35">
        <v>330.23868725366953</v>
      </c>
    </row>
    <row r="888" spans="1:12">
      <c r="A888" s="35">
        <v>245.31679044049824</v>
      </c>
      <c r="B888" s="35">
        <v>251.38238044888303</v>
      </c>
      <c r="C888" s="35">
        <v>232.19076354632801</v>
      </c>
      <c r="D888" s="35">
        <v>242.90982580148622</v>
      </c>
      <c r="E888" s="35">
        <v>267.33680875033849</v>
      </c>
      <c r="F888" s="35">
        <v>265.00354724598219</v>
      </c>
      <c r="G888" s="35">
        <v>248.44491647264906</v>
      </c>
      <c r="H888" s="35">
        <v>246.78358027533071</v>
      </c>
      <c r="I888" s="35">
        <v>283.50962176867915</v>
      </c>
      <c r="J888" s="35">
        <v>309.56126993104004</v>
      </c>
      <c r="K888" s="35">
        <v>320.16910729597834</v>
      </c>
      <c r="L888" s="35">
        <v>371.02153989492911</v>
      </c>
    </row>
    <row r="889" spans="1:12">
      <c r="A889" s="35">
        <v>225.63719628707506</v>
      </c>
      <c r="B889" s="35">
        <v>261.43653902204272</v>
      </c>
      <c r="C889" s="35">
        <v>231.97532883089778</v>
      </c>
      <c r="D889" s="35">
        <v>221.90635893545948</v>
      </c>
      <c r="E889" s="35">
        <v>278.86041675962258</v>
      </c>
      <c r="F889" s="35">
        <v>242.35659917265886</v>
      </c>
      <c r="G889" s="35">
        <v>247.53399592661972</v>
      </c>
      <c r="H889" s="35">
        <v>243.9153345305528</v>
      </c>
      <c r="I889" s="35">
        <v>270.88278542845734</v>
      </c>
      <c r="J889" s="35">
        <v>266.64064997322544</v>
      </c>
      <c r="K889" s="35">
        <v>274.6486876749326</v>
      </c>
      <c r="L889" s="35">
        <v>317.80190329647235</v>
      </c>
    </row>
    <row r="890" spans="1:12">
      <c r="A890" s="35">
        <v>235.30599973294468</v>
      </c>
      <c r="B890" s="35">
        <v>268.1317298442911</v>
      </c>
      <c r="C890" s="35">
        <v>237.41866355967298</v>
      </c>
      <c r="D890" s="35">
        <v>248.79546521082108</v>
      </c>
      <c r="E890" s="35">
        <v>279.71364812572659</v>
      </c>
      <c r="F890" s="35">
        <v>238.48568812560444</v>
      </c>
      <c r="G890" s="35">
        <v>262.47065213494619</v>
      </c>
      <c r="H890" s="35">
        <v>252.55001075777</v>
      </c>
      <c r="I890" s="35">
        <v>281.4320179221682</v>
      </c>
      <c r="J890" s="35">
        <v>291.98416570108083</v>
      </c>
      <c r="K890" s="35">
        <v>291.3757946576556</v>
      </c>
      <c r="L890" s="35">
        <v>347.98783464525775</v>
      </c>
    </row>
    <row r="891" spans="1:12">
      <c r="A891" s="35">
        <v>264.09645376070694</v>
      </c>
      <c r="B891" s="35">
        <v>255.85131412839715</v>
      </c>
      <c r="C891" s="35">
        <v>231.97664314969566</v>
      </c>
      <c r="D891" s="35">
        <v>233.63198303591116</v>
      </c>
      <c r="E891" s="35">
        <v>269.87937986585479</v>
      </c>
      <c r="F891" s="35">
        <v>245.91864441613299</v>
      </c>
      <c r="G891" s="35">
        <v>254.99969216436227</v>
      </c>
      <c r="H891" s="35">
        <v>256.54777255426404</v>
      </c>
      <c r="I891" s="35">
        <v>278.77132944353986</v>
      </c>
      <c r="J891" s="35">
        <v>307.87343253647015</v>
      </c>
      <c r="K891" s="35">
        <v>285.40402516241267</v>
      </c>
      <c r="L891" s="35">
        <v>365.32195078730706</v>
      </c>
    </row>
    <row r="892" spans="1:12">
      <c r="A892" s="35">
        <v>246.52726956531706</v>
      </c>
      <c r="B892" s="35">
        <v>265.63329231121827</v>
      </c>
      <c r="C892" s="35">
        <v>240.18713344982598</v>
      </c>
      <c r="D892" s="35">
        <v>237.60058020943453</v>
      </c>
      <c r="E892" s="35">
        <v>282.1715584775381</v>
      </c>
      <c r="F892" s="35">
        <v>251.43012072195603</v>
      </c>
      <c r="G892" s="35">
        <v>259.57196952139788</v>
      </c>
      <c r="H892" s="35">
        <v>262.27704977561575</v>
      </c>
      <c r="I892" s="35">
        <v>283.29876808360979</v>
      </c>
      <c r="J892" s="35">
        <v>293.06927124653993</v>
      </c>
      <c r="K892" s="35">
        <v>300.42092167920663</v>
      </c>
      <c r="L892" s="35">
        <v>359.16041223595187</v>
      </c>
    </row>
    <row r="893" spans="1:12">
      <c r="A893" s="35">
        <v>245.57720935442717</v>
      </c>
      <c r="B893" s="35">
        <v>264.70489258654544</v>
      </c>
      <c r="C893" s="35">
        <v>256.02429337446245</v>
      </c>
      <c r="D893" s="35">
        <v>216.82649045453186</v>
      </c>
      <c r="E893" s="35">
        <v>269.07282132243586</v>
      </c>
      <c r="F893" s="35">
        <v>236.93820584172531</v>
      </c>
      <c r="G893" s="35">
        <v>263.93466653110022</v>
      </c>
      <c r="H893" s="35">
        <v>252.89731183382085</v>
      </c>
      <c r="I893" s="35">
        <v>297.66314429642438</v>
      </c>
      <c r="J893" s="35">
        <v>311.30016822124804</v>
      </c>
      <c r="K893" s="35">
        <v>319.36304827460975</v>
      </c>
      <c r="L893" s="35">
        <v>365.87915096358472</v>
      </c>
    </row>
    <row r="894" spans="1:12">
      <c r="A894" s="35">
        <v>263.54981594058268</v>
      </c>
      <c r="B894" s="35">
        <v>262.50983627757677</v>
      </c>
      <c r="C894" s="35">
        <v>253.96404774568794</v>
      </c>
      <c r="D894" s="35">
        <v>258.86388090102798</v>
      </c>
      <c r="E894" s="35">
        <v>323.24914504459542</v>
      </c>
      <c r="F894" s="35">
        <v>268.6323742798275</v>
      </c>
      <c r="G894" s="35">
        <v>294.04577788090086</v>
      </c>
      <c r="H894" s="35">
        <v>320.98660271798713</v>
      </c>
      <c r="I894" s="35">
        <v>328.89800357677694</v>
      </c>
      <c r="J894" s="35">
        <v>361.22108717221266</v>
      </c>
      <c r="K894" s="35">
        <v>380.54180222631265</v>
      </c>
      <c r="L894" s="35">
        <v>439.38611218741386</v>
      </c>
    </row>
    <row r="895" spans="1:12">
      <c r="A895" s="35">
        <v>240.10425424897619</v>
      </c>
      <c r="B895" s="35">
        <v>268.41309259484876</v>
      </c>
      <c r="C895" s="35">
        <v>233.56611534708986</v>
      </c>
      <c r="D895" s="35">
        <v>214.1229532811883</v>
      </c>
      <c r="E895" s="35">
        <v>261.32246567680318</v>
      </c>
      <c r="F895" s="35">
        <v>221.69622591021098</v>
      </c>
      <c r="G895" s="35">
        <v>232.25817106100888</v>
      </c>
      <c r="H895" s="35">
        <v>247.38090473807813</v>
      </c>
      <c r="I895" s="35">
        <v>256.14414641457023</v>
      </c>
      <c r="J895" s="35">
        <v>286.55612899940661</v>
      </c>
      <c r="K895" s="35">
        <v>287.73831805421668</v>
      </c>
      <c r="L895" s="35">
        <v>329.01318994276926</v>
      </c>
    </row>
    <row r="896" spans="1:12">
      <c r="A896" s="35">
        <v>237.39937315698677</v>
      </c>
      <c r="B896" s="35">
        <v>273.45522359188556</v>
      </c>
      <c r="C896" s="35">
        <v>231.74688061641061</v>
      </c>
      <c r="D896" s="35">
        <v>243.29408439932601</v>
      </c>
      <c r="E896" s="35">
        <v>283.28245687418797</v>
      </c>
      <c r="F896" s="35">
        <v>237.66641734579261</v>
      </c>
      <c r="G896" s="35">
        <v>240.70543725962295</v>
      </c>
      <c r="H896" s="35">
        <v>268.87312875028158</v>
      </c>
      <c r="I896" s="35">
        <v>306.63387231417221</v>
      </c>
      <c r="J896" s="35">
        <v>315.6195336012193</v>
      </c>
      <c r="K896" s="35">
        <v>322.10999110649914</v>
      </c>
      <c r="L896" s="35">
        <v>386.67155123647029</v>
      </c>
    </row>
    <row r="897" spans="1:12">
      <c r="A897" s="35">
        <v>227.40247748854685</v>
      </c>
      <c r="B897" s="35">
        <v>246.64953312500742</v>
      </c>
      <c r="C897" s="35">
        <v>240.2825006817497</v>
      </c>
      <c r="D897" s="35">
        <v>235.71818579754185</v>
      </c>
      <c r="E897" s="35">
        <v>271.1217407562857</v>
      </c>
      <c r="F897" s="35">
        <v>238.37280001274206</v>
      </c>
      <c r="G897" s="35">
        <v>250.35609170138824</v>
      </c>
      <c r="H897" s="35">
        <v>254.60876834288254</v>
      </c>
      <c r="I897" s="35">
        <v>285.95366709490304</v>
      </c>
      <c r="J897" s="35">
        <v>295.64078534528045</v>
      </c>
      <c r="K897" s="35">
        <v>295.35337051757745</v>
      </c>
      <c r="L897" s="35">
        <v>351.7857828917264</v>
      </c>
    </row>
    <row r="898" spans="1:12">
      <c r="A898" s="35">
        <v>238.15283133391048</v>
      </c>
      <c r="B898" s="35">
        <v>245.34511253030183</v>
      </c>
      <c r="C898" s="35">
        <v>231.1767181121225</v>
      </c>
      <c r="D898" s="35">
        <v>227.92878728562212</v>
      </c>
      <c r="E898" s="35">
        <v>263.06133360373241</v>
      </c>
      <c r="F898" s="35">
        <v>245.46275626442488</v>
      </c>
      <c r="G898" s="35">
        <v>230.43567529648399</v>
      </c>
      <c r="H898" s="35">
        <v>240.0814826545795</v>
      </c>
      <c r="I898" s="35">
        <v>255.22794525107247</v>
      </c>
      <c r="J898" s="35">
        <v>266.16910657601193</v>
      </c>
      <c r="K898" s="35">
        <v>277.07718224339663</v>
      </c>
      <c r="L898" s="35">
        <v>321.0350132698934</v>
      </c>
    </row>
    <row r="899" spans="1:12">
      <c r="A899" s="35">
        <v>240.15299517965903</v>
      </c>
      <c r="B899" s="35">
        <v>266.15718799571926</v>
      </c>
      <c r="C899" s="35">
        <v>253.05126809884149</v>
      </c>
      <c r="D899" s="35">
        <v>250.1598030025896</v>
      </c>
      <c r="E899" s="35">
        <v>297.8165967038189</v>
      </c>
      <c r="F899" s="35">
        <v>267.95469448736208</v>
      </c>
      <c r="G899" s="35">
        <v>269.19033568418473</v>
      </c>
      <c r="H899" s="35">
        <v>291.57412703753153</v>
      </c>
      <c r="I899" s="35">
        <v>310.66736004612852</v>
      </c>
      <c r="J899" s="35">
        <v>321.69558032139469</v>
      </c>
      <c r="K899" s="35">
        <v>331.26256557299621</v>
      </c>
      <c r="L899" s="35">
        <v>418.05690015248547</v>
      </c>
    </row>
    <row r="900" spans="1:12">
      <c r="A900" s="35">
        <v>238.09338247632803</v>
      </c>
      <c r="B900" s="35">
        <v>267.58168392352798</v>
      </c>
      <c r="C900" s="35">
        <v>239.67512260379462</v>
      </c>
      <c r="D900" s="35">
        <v>249.04107353513822</v>
      </c>
      <c r="E900" s="35">
        <v>302.47526319127962</v>
      </c>
      <c r="F900" s="35">
        <v>248.69740750019756</v>
      </c>
      <c r="G900" s="35">
        <v>264.45502282190722</v>
      </c>
      <c r="H900" s="35">
        <v>264.18835685183763</v>
      </c>
      <c r="I900" s="35">
        <v>280.95463634093466</v>
      </c>
      <c r="J900" s="35">
        <v>311.83185331972209</v>
      </c>
      <c r="K900" s="35">
        <v>322.26210188398261</v>
      </c>
      <c r="L900" s="35">
        <v>380.88593755454315</v>
      </c>
    </row>
    <row r="901" spans="1:12">
      <c r="A901" s="35">
        <v>244.12743602507729</v>
      </c>
      <c r="B901" s="35">
        <v>268.7803354635314</v>
      </c>
      <c r="C901" s="35">
        <v>250.57554050238079</v>
      </c>
      <c r="D901" s="35">
        <v>243.73889241443035</v>
      </c>
      <c r="E901" s="35">
        <v>298.38430959587896</v>
      </c>
      <c r="F901" s="35">
        <v>249.89307059923445</v>
      </c>
      <c r="G901" s="35">
        <v>270.3838306130221</v>
      </c>
      <c r="H901" s="35">
        <v>272.72866718090773</v>
      </c>
      <c r="I901" s="35">
        <v>292.38985927482088</v>
      </c>
      <c r="J901" s="35">
        <v>307.0383327002873</v>
      </c>
      <c r="K901" s="35">
        <v>322.86436260832221</v>
      </c>
      <c r="L901" s="35">
        <v>389.7553634882392</v>
      </c>
    </row>
    <row r="902" spans="1:12">
      <c r="A902" s="35">
        <v>234.53268432875078</v>
      </c>
      <c r="B902" s="35">
        <v>261.50626236020366</v>
      </c>
      <c r="C902" s="35">
        <v>238.62829844343528</v>
      </c>
      <c r="D902" s="35">
        <v>222.50245024956504</v>
      </c>
      <c r="E902" s="35">
        <v>289.7348305446738</v>
      </c>
      <c r="F902" s="35">
        <v>228.93022065012636</v>
      </c>
      <c r="G902" s="35">
        <v>239.3165346939781</v>
      </c>
      <c r="H902" s="35">
        <v>263.05685968659799</v>
      </c>
      <c r="I902" s="35">
        <v>283.44882097658825</v>
      </c>
      <c r="J902" s="35">
        <v>280.84952773673831</v>
      </c>
      <c r="K902" s="35">
        <v>309.2504443047269</v>
      </c>
      <c r="L902" s="35">
        <v>366.13022381222186</v>
      </c>
    </row>
    <row r="903" spans="1:12">
      <c r="A903" s="35">
        <v>253.03642962094855</v>
      </c>
      <c r="B903" s="35">
        <v>271.64686870329081</v>
      </c>
      <c r="C903" s="35">
        <v>249.37778309578178</v>
      </c>
      <c r="D903" s="35">
        <v>253.29742052960739</v>
      </c>
      <c r="E903" s="35">
        <v>297.17085236350846</v>
      </c>
      <c r="F903" s="35">
        <v>265.52274853873598</v>
      </c>
      <c r="G903" s="35">
        <v>285.92077822163145</v>
      </c>
      <c r="H903" s="35">
        <v>280.77022026735324</v>
      </c>
      <c r="I903" s="35">
        <v>282.07682412269656</v>
      </c>
      <c r="J903" s="35">
        <v>333.05042855188208</v>
      </c>
      <c r="K903" s="35">
        <v>336.87690671893267</v>
      </c>
      <c r="L903" s="35">
        <v>414.02531820622596</v>
      </c>
    </row>
    <row r="904" spans="1:12">
      <c r="A904" s="35">
        <v>250.87932234755525</v>
      </c>
      <c r="B904" s="35">
        <v>258.08970835670232</v>
      </c>
      <c r="C904" s="35">
        <v>251.78827031345503</v>
      </c>
      <c r="D904" s="35">
        <v>250.93753013820617</v>
      </c>
      <c r="E904" s="35">
        <v>287.52197088617112</v>
      </c>
      <c r="F904" s="35">
        <v>278.14562165347576</v>
      </c>
      <c r="G904" s="35">
        <v>279.29669675708942</v>
      </c>
      <c r="H904" s="35">
        <v>276.45852882971184</v>
      </c>
      <c r="I904" s="35">
        <v>294.67883190936385</v>
      </c>
      <c r="J904" s="35">
        <v>307.12777368416909</v>
      </c>
      <c r="K904" s="35">
        <v>336.23739493386836</v>
      </c>
      <c r="L904" s="35">
        <v>399.29309029651847</v>
      </c>
    </row>
    <row r="905" spans="1:12">
      <c r="A905" s="35">
        <v>246.04840315673837</v>
      </c>
      <c r="B905" s="35">
        <v>266.83124319651375</v>
      </c>
      <c r="C905" s="35">
        <v>246.45492351194036</v>
      </c>
      <c r="D905" s="35">
        <v>248.67301214760425</v>
      </c>
      <c r="E905" s="35">
        <v>293.20585947652575</v>
      </c>
      <c r="F905" s="35">
        <v>259.87050965395434</v>
      </c>
      <c r="G905" s="35">
        <v>264.82469541891936</v>
      </c>
      <c r="H905" s="35">
        <v>273.73519732158223</v>
      </c>
      <c r="I905" s="35">
        <v>307.00527851557609</v>
      </c>
      <c r="J905" s="35">
        <v>313.46344022574999</v>
      </c>
      <c r="K905" s="35">
        <v>344.3373825312965</v>
      </c>
      <c r="L905" s="35">
        <v>386.98983085435538</v>
      </c>
    </row>
    <row r="906" spans="1:12">
      <c r="A906" s="35">
        <v>258.16488856309081</v>
      </c>
      <c r="B906" s="35">
        <v>260.06168354580313</v>
      </c>
      <c r="C906" s="35">
        <v>235.56773422709665</v>
      </c>
      <c r="D906" s="35">
        <v>265.63005826719512</v>
      </c>
      <c r="E906" s="35">
        <v>290.95182035463716</v>
      </c>
      <c r="F906" s="35">
        <v>252.87037231492232</v>
      </c>
      <c r="G906" s="35">
        <v>265.02844915493296</v>
      </c>
      <c r="H906" s="35">
        <v>274.89549958617022</v>
      </c>
      <c r="I906" s="35">
        <v>311.59996129796679</v>
      </c>
      <c r="J906" s="35">
        <v>332.78495828118548</v>
      </c>
      <c r="K906" s="35">
        <v>335.82699238689332</v>
      </c>
      <c r="L906" s="35">
        <v>406.68015747597445</v>
      </c>
    </row>
    <row r="907" spans="1:12">
      <c r="A907" s="35">
        <v>268.56015305488057</v>
      </c>
      <c r="B907" s="35">
        <v>281.61958827474081</v>
      </c>
      <c r="C907" s="35">
        <v>273.42348167608162</v>
      </c>
      <c r="D907" s="35">
        <v>269.145819424715</v>
      </c>
      <c r="E907" s="35">
        <v>320.20270443644341</v>
      </c>
      <c r="F907" s="35">
        <v>297.37081666217711</v>
      </c>
      <c r="G907" s="35">
        <v>301.15532535462063</v>
      </c>
      <c r="H907" s="35">
        <v>309.35254937384218</v>
      </c>
      <c r="I907" s="35">
        <v>353.27779041183976</v>
      </c>
      <c r="J907" s="35">
        <v>377.19508655110133</v>
      </c>
      <c r="K907" s="35">
        <v>377.24794325631132</v>
      </c>
      <c r="L907" s="35">
        <v>470.23385549115767</v>
      </c>
    </row>
    <row r="908" spans="1:12">
      <c r="A908" s="35">
        <v>263.07637825949627</v>
      </c>
      <c r="B908" s="35">
        <v>262.4988432336782</v>
      </c>
      <c r="C908" s="35">
        <v>245.03590991171444</v>
      </c>
      <c r="D908" s="35">
        <v>228.19634136372869</v>
      </c>
      <c r="E908" s="35">
        <v>283.14438430282564</v>
      </c>
      <c r="F908" s="35">
        <v>249.41521753589345</v>
      </c>
      <c r="G908" s="35">
        <v>266.03529092961423</v>
      </c>
      <c r="H908" s="35">
        <v>262.32475296048779</v>
      </c>
      <c r="I908" s="35">
        <v>300.16470826638312</v>
      </c>
      <c r="J908" s="35">
        <v>299.1157495703801</v>
      </c>
      <c r="K908" s="35">
        <v>309.55466998858878</v>
      </c>
      <c r="L908" s="35">
        <v>373.8943766190929</v>
      </c>
    </row>
    <row r="909" spans="1:12">
      <c r="A909" s="35">
        <v>244.66877516667981</v>
      </c>
      <c r="B909" s="35">
        <v>257.18609698329567</v>
      </c>
      <c r="C909" s="35">
        <v>261.65590053885768</v>
      </c>
      <c r="D909" s="35">
        <v>237.74478657466918</v>
      </c>
      <c r="E909" s="35">
        <v>278.55009976533307</v>
      </c>
      <c r="F909" s="35">
        <v>245.29936528487062</v>
      </c>
      <c r="G909" s="35">
        <v>262.41448296195881</v>
      </c>
      <c r="H909" s="35">
        <v>267.42852494342185</v>
      </c>
      <c r="I909" s="35">
        <v>283.41540608011837</v>
      </c>
      <c r="J909" s="35">
        <v>299.58177557084127</v>
      </c>
      <c r="K909" s="35">
        <v>321.79082652640494</v>
      </c>
      <c r="L909" s="35">
        <v>379.09883898498214</v>
      </c>
    </row>
    <row r="910" spans="1:12">
      <c r="A910" s="35">
        <v>230.40761440485869</v>
      </c>
      <c r="B910" s="35">
        <v>229.4381628238655</v>
      </c>
      <c r="C910" s="35">
        <v>230.58801910649515</v>
      </c>
      <c r="D910" s="35">
        <v>211.11338501846893</v>
      </c>
      <c r="E910" s="35">
        <v>250.75041945818865</v>
      </c>
      <c r="F910" s="35">
        <v>208.49410060817763</v>
      </c>
      <c r="G910" s="35">
        <v>228.13089979997807</v>
      </c>
      <c r="H910" s="35">
        <v>223.03556582460527</v>
      </c>
      <c r="I910" s="35">
        <v>249.69623070812978</v>
      </c>
      <c r="J910" s="35">
        <v>236.98737168195521</v>
      </c>
      <c r="K910" s="35">
        <v>259.89206457239487</v>
      </c>
      <c r="L910" s="35">
        <v>288.09201524731657</v>
      </c>
    </row>
    <row r="911" spans="1:12">
      <c r="A911" s="35">
        <v>234.18827875313937</v>
      </c>
      <c r="B911" s="35">
        <v>237.54328668671047</v>
      </c>
      <c r="C911" s="35">
        <v>236.30846852797384</v>
      </c>
      <c r="D911" s="35">
        <v>237.55222344975891</v>
      </c>
      <c r="E911" s="35">
        <v>263.77102278442851</v>
      </c>
      <c r="F911" s="35">
        <v>253.95327196854214</v>
      </c>
      <c r="G911" s="35">
        <v>248.52950523934433</v>
      </c>
      <c r="H911" s="35">
        <v>248.21200858092305</v>
      </c>
      <c r="I911" s="35">
        <v>264.07506249627664</v>
      </c>
      <c r="J911" s="35">
        <v>291.22631337700619</v>
      </c>
      <c r="K911" s="35">
        <v>282.06789819569309</v>
      </c>
      <c r="L911" s="35">
        <v>349.34605247442448</v>
      </c>
    </row>
    <row r="912" spans="1:12">
      <c r="A912" s="35">
        <v>254.902877808846</v>
      </c>
      <c r="B912" s="35">
        <v>269.43308624065088</v>
      </c>
      <c r="C912" s="35">
        <v>252.58983567750352</v>
      </c>
      <c r="D912" s="35">
        <v>253.0051010406535</v>
      </c>
      <c r="E912" s="35">
        <v>286.13731039277047</v>
      </c>
      <c r="F912" s="35">
        <v>274.53183864122622</v>
      </c>
      <c r="G912" s="35">
        <v>283.87806843050163</v>
      </c>
      <c r="H912" s="35">
        <v>299.56174495956736</v>
      </c>
      <c r="I912" s="35">
        <v>322.5862826304903</v>
      </c>
      <c r="J912" s="35">
        <v>329.34549894061865</v>
      </c>
      <c r="K912" s="35">
        <v>339.21263563222249</v>
      </c>
      <c r="L912" s="35">
        <v>403.56548633365981</v>
      </c>
    </row>
    <row r="913" spans="1:12">
      <c r="A913" s="35">
        <v>217.46937054393325</v>
      </c>
      <c r="B913" s="35">
        <v>260.55534312736626</v>
      </c>
      <c r="C913" s="35">
        <v>247.60949067009369</v>
      </c>
      <c r="D913" s="35">
        <v>235.99701554901623</v>
      </c>
      <c r="E913" s="35">
        <v>263.20881618783801</v>
      </c>
      <c r="F913" s="35">
        <v>247.04925597042552</v>
      </c>
      <c r="G913" s="35">
        <v>257.73535741659941</v>
      </c>
      <c r="H913" s="35">
        <v>252.41301526736069</v>
      </c>
      <c r="I913" s="35">
        <v>293.86346032110521</v>
      </c>
      <c r="J913" s="35">
        <v>303.08139280513842</v>
      </c>
      <c r="K913" s="35">
        <v>326.10438342942439</v>
      </c>
      <c r="L913" s="35">
        <v>382.52196979008693</v>
      </c>
    </row>
    <row r="914" spans="1:12">
      <c r="A914" s="35">
        <v>238.73687701827939</v>
      </c>
      <c r="B914" s="35">
        <v>253.38726681561715</v>
      </c>
      <c r="C914" s="35">
        <v>220.12174348440385</v>
      </c>
      <c r="D914" s="35">
        <v>217.35719857895941</v>
      </c>
      <c r="E914" s="35">
        <v>282.10020636318393</v>
      </c>
      <c r="F914" s="35">
        <v>224.25214387745939</v>
      </c>
      <c r="G914" s="35">
        <v>239.69915703117402</v>
      </c>
      <c r="H914" s="35">
        <v>240.15193802882143</v>
      </c>
      <c r="I914" s="35">
        <v>265.37758559020153</v>
      </c>
      <c r="J914" s="35">
        <v>294.66304988073534</v>
      </c>
      <c r="K914" s="35">
        <v>296.58400702966372</v>
      </c>
      <c r="L914" s="35">
        <v>342.33123162771579</v>
      </c>
    </row>
    <row r="915" spans="1:12">
      <c r="A915" s="35">
        <v>215.74069206606572</v>
      </c>
      <c r="B915" s="35">
        <v>245.8484110150323</v>
      </c>
      <c r="C915" s="35">
        <v>213.6585377974028</v>
      </c>
      <c r="D915" s="35">
        <v>211.61201326798428</v>
      </c>
      <c r="E915" s="35">
        <v>237.56411373148592</v>
      </c>
      <c r="F915" s="35">
        <v>221.02512188815095</v>
      </c>
      <c r="G915" s="35">
        <v>202.03226848625539</v>
      </c>
      <c r="H915" s="35">
        <v>225.8290875289905</v>
      </c>
      <c r="I915" s="35">
        <v>247.07624493079268</v>
      </c>
      <c r="J915" s="35">
        <v>239.85627755934277</v>
      </c>
      <c r="K915" s="35">
        <v>270.2176139003065</v>
      </c>
      <c r="L915" s="35">
        <v>316.25918502266558</v>
      </c>
    </row>
    <row r="916" spans="1:12">
      <c r="A916" s="35">
        <v>240.15122719471361</v>
      </c>
      <c r="B916" s="35">
        <v>261.5875153535801</v>
      </c>
      <c r="C916" s="35">
        <v>237.99833981516716</v>
      </c>
      <c r="D916" s="35">
        <v>249.90849014206589</v>
      </c>
      <c r="E916" s="35">
        <v>273.03020549569732</v>
      </c>
      <c r="F916" s="35">
        <v>239.67473237855265</v>
      </c>
      <c r="G916" s="35">
        <v>250.71685274837478</v>
      </c>
      <c r="H916" s="35">
        <v>252.37568684084732</v>
      </c>
      <c r="I916" s="35">
        <v>271.55961353119085</v>
      </c>
      <c r="J916" s="35">
        <v>277.51244157594033</v>
      </c>
      <c r="K916" s="35">
        <v>312.56514359511038</v>
      </c>
      <c r="L916" s="35">
        <v>344.92309365672651</v>
      </c>
    </row>
    <row r="917" spans="1:12">
      <c r="A917" s="35">
        <v>251.41049154429822</v>
      </c>
      <c r="B917" s="35">
        <v>275.23472246522306</v>
      </c>
      <c r="C917" s="35">
        <v>256.29744500628192</v>
      </c>
      <c r="D917" s="35">
        <v>270.43028927086976</v>
      </c>
      <c r="E917" s="35">
        <v>307.6017074233007</v>
      </c>
      <c r="F917" s="35">
        <v>276.83371913956552</v>
      </c>
      <c r="G917" s="35">
        <v>276.40318378624823</v>
      </c>
      <c r="H917" s="35">
        <v>284.701554733688</v>
      </c>
      <c r="I917" s="35">
        <v>318.34555132363084</v>
      </c>
      <c r="J917" s="35">
        <v>335.71868727860567</v>
      </c>
      <c r="K917" s="35">
        <v>328.2613924865197</v>
      </c>
      <c r="L917" s="35">
        <v>400.91936733245137</v>
      </c>
    </row>
    <row r="918" spans="1:12">
      <c r="A918" s="35">
        <v>258.42130033630889</v>
      </c>
      <c r="B918" s="35">
        <v>259.1237897589798</v>
      </c>
      <c r="C918" s="35">
        <v>229.28892502687546</v>
      </c>
      <c r="D918" s="35">
        <v>241.16271477241509</v>
      </c>
      <c r="E918" s="35">
        <v>281.16151628745541</v>
      </c>
      <c r="F918" s="35">
        <v>252.85229122184066</v>
      </c>
      <c r="G918" s="35">
        <v>256.9095688823316</v>
      </c>
      <c r="H918" s="35">
        <v>254.24896046642425</v>
      </c>
      <c r="I918" s="35">
        <v>281.54001132152041</v>
      </c>
      <c r="J918" s="35">
        <v>285.53507040849462</v>
      </c>
      <c r="K918" s="35">
        <v>305.43628626014095</v>
      </c>
      <c r="L918" s="35">
        <v>370.31552380729221</v>
      </c>
    </row>
    <row r="919" spans="1:12">
      <c r="A919" s="35">
        <v>227.9047439990409</v>
      </c>
      <c r="B919" s="35">
        <v>247.6858562184228</v>
      </c>
      <c r="C919" s="35">
        <v>235.98019781116838</v>
      </c>
      <c r="D919" s="35">
        <v>231.21379509561882</v>
      </c>
      <c r="E919" s="35">
        <v>252.80875511368279</v>
      </c>
      <c r="F919" s="35">
        <v>227.18353013756496</v>
      </c>
      <c r="G919" s="35">
        <v>240.22717109031333</v>
      </c>
      <c r="H919" s="35">
        <v>255.74407845426828</v>
      </c>
      <c r="I919" s="35">
        <v>282.48028553434506</v>
      </c>
      <c r="J919" s="35">
        <v>287.21849075537557</v>
      </c>
      <c r="K919" s="35">
        <v>297.64551568146959</v>
      </c>
      <c r="L919" s="35">
        <v>359.64716473049822</v>
      </c>
    </row>
    <row r="920" spans="1:12">
      <c r="A920" s="35">
        <v>250.66292665893005</v>
      </c>
      <c r="B920" s="35">
        <v>268.10122828665351</v>
      </c>
      <c r="C920" s="35">
        <v>248.43804471456741</v>
      </c>
      <c r="D920" s="35">
        <v>253.19886837484222</v>
      </c>
      <c r="E920" s="35">
        <v>275.7397429978181</v>
      </c>
      <c r="F920" s="35">
        <v>247.31577072162005</v>
      </c>
      <c r="G920" s="35">
        <v>267.05078205207707</v>
      </c>
      <c r="H920" s="35">
        <v>264.85534044254786</v>
      </c>
      <c r="I920" s="35">
        <v>286.89662239248986</v>
      </c>
      <c r="J920" s="35">
        <v>316.68550884814147</v>
      </c>
      <c r="K920" s="35">
        <v>336.94647223788348</v>
      </c>
      <c r="L920" s="35">
        <v>367.9595551228943</v>
      </c>
    </row>
    <row r="921" spans="1:12">
      <c r="A921" s="35">
        <v>233.25655055834304</v>
      </c>
      <c r="B921" s="35">
        <v>242.17933366207416</v>
      </c>
      <c r="C921" s="35">
        <v>223.75243962668998</v>
      </c>
      <c r="D921" s="35">
        <v>236.1528179536721</v>
      </c>
      <c r="E921" s="35">
        <v>288.65024661983051</v>
      </c>
      <c r="F921" s="35">
        <v>233.50515062794835</v>
      </c>
      <c r="G921" s="35">
        <v>219.49863611559897</v>
      </c>
      <c r="H921" s="35">
        <v>263.70101203257218</v>
      </c>
      <c r="I921" s="35">
        <v>265.70482988975806</v>
      </c>
      <c r="J921" s="35">
        <v>270.44410834074142</v>
      </c>
      <c r="K921" s="35">
        <v>274.64240303617908</v>
      </c>
      <c r="L921" s="35">
        <v>330.81495116817416</v>
      </c>
    </row>
    <row r="922" spans="1:12">
      <c r="A922" s="35">
        <v>230.00675798784457</v>
      </c>
      <c r="B922" s="35">
        <v>253.42481374067447</v>
      </c>
      <c r="C922" s="35">
        <v>236.59545594771458</v>
      </c>
      <c r="D922" s="35">
        <v>230.40568357792375</v>
      </c>
      <c r="E922" s="35">
        <v>252.40992676018342</v>
      </c>
      <c r="F922" s="35">
        <v>251.53401835784751</v>
      </c>
      <c r="G922" s="35">
        <v>251.38593517876703</v>
      </c>
      <c r="H922" s="35">
        <v>255.16863904932896</v>
      </c>
      <c r="I922" s="35">
        <v>272.17417747217735</v>
      </c>
      <c r="J922" s="35">
        <v>294.44062277986029</v>
      </c>
      <c r="K922" s="35">
        <v>314.86936795306036</v>
      </c>
      <c r="L922" s="35">
        <v>352.63394011070193</v>
      </c>
    </row>
    <row r="923" spans="1:12">
      <c r="A923" s="35">
        <v>257.79291464405645</v>
      </c>
      <c r="B923" s="35">
        <v>275.31640181393425</v>
      </c>
      <c r="C923" s="35">
        <v>249.60173393161847</v>
      </c>
      <c r="D923" s="35">
        <v>260.14007817362989</v>
      </c>
      <c r="E923" s="35">
        <v>293.38966128585008</v>
      </c>
      <c r="F923" s="35">
        <v>268.5615991816573</v>
      </c>
      <c r="G923" s="35">
        <v>283.25526076201322</v>
      </c>
      <c r="H923" s="35">
        <v>296.25068461291482</v>
      </c>
      <c r="I923" s="35">
        <v>330.47798928386027</v>
      </c>
      <c r="J923" s="35">
        <v>356.69007041061428</v>
      </c>
      <c r="K923" s="35">
        <v>386.24679075695974</v>
      </c>
      <c r="L923" s="35">
        <v>452.41404297305428</v>
      </c>
    </row>
    <row r="924" spans="1:12">
      <c r="A924" s="35">
        <v>249.7679069777885</v>
      </c>
      <c r="B924" s="35">
        <v>259.55193851409609</v>
      </c>
      <c r="C924" s="35">
        <v>249.98286638642162</v>
      </c>
      <c r="D924" s="35">
        <v>233.2558260160109</v>
      </c>
      <c r="E924" s="35">
        <v>275.23692564266366</v>
      </c>
      <c r="F924" s="35">
        <v>242.34197444723839</v>
      </c>
      <c r="G924" s="35">
        <v>252.07591187502422</v>
      </c>
      <c r="H924" s="35">
        <v>262.8910696731362</v>
      </c>
      <c r="I924" s="35">
        <v>273.12272574710107</v>
      </c>
      <c r="J924" s="35">
        <v>288.24644962915977</v>
      </c>
      <c r="K924" s="35">
        <v>303.0959957374377</v>
      </c>
      <c r="L924" s="35">
        <v>334.50401423396869</v>
      </c>
    </row>
    <row r="925" spans="1:12">
      <c r="A925" s="35">
        <v>248.02235754213996</v>
      </c>
      <c r="B925" s="35">
        <v>257.87371430960587</v>
      </c>
      <c r="C925" s="35">
        <v>222.10614784264698</v>
      </c>
      <c r="D925" s="35">
        <v>236.67135836339992</v>
      </c>
      <c r="E925" s="35">
        <v>276.60472378577646</v>
      </c>
      <c r="F925" s="35">
        <v>249.1289042904813</v>
      </c>
      <c r="G925" s="35">
        <v>248.41071529378993</v>
      </c>
      <c r="H925" s="35">
        <v>274.90353720152069</v>
      </c>
      <c r="I925" s="35">
        <v>300.28472769358393</v>
      </c>
      <c r="J925" s="35">
        <v>295.96271101151626</v>
      </c>
      <c r="K925" s="35">
        <v>306.04197754047857</v>
      </c>
      <c r="L925" s="35">
        <v>360.99053834729978</v>
      </c>
    </row>
    <row r="926" spans="1:12">
      <c r="A926" s="35">
        <v>244.40129010119583</v>
      </c>
      <c r="B926" s="35">
        <v>252.97511119108793</v>
      </c>
      <c r="C926" s="35">
        <v>225.44980072869393</v>
      </c>
      <c r="D926" s="35">
        <v>253.10548203977956</v>
      </c>
      <c r="E926" s="35">
        <v>289.31595806563803</v>
      </c>
      <c r="F926" s="35">
        <v>230.54408803954217</v>
      </c>
      <c r="G926" s="35">
        <v>239.94959848078392</v>
      </c>
      <c r="H926" s="35">
        <v>249.28706864226046</v>
      </c>
      <c r="I926" s="35">
        <v>289.73642925273805</v>
      </c>
      <c r="J926" s="35">
        <v>291.11189432615981</v>
      </c>
      <c r="K926" s="35">
        <v>317.04442203764108</v>
      </c>
      <c r="L926" s="35">
        <v>354.60906256108649</v>
      </c>
    </row>
    <row r="927" spans="1:12">
      <c r="A927" s="35">
        <v>249.65630202512617</v>
      </c>
      <c r="B927" s="35">
        <v>254.93726297668718</v>
      </c>
      <c r="C927" s="35">
        <v>253.58366482876596</v>
      </c>
      <c r="D927" s="35">
        <v>261.83450732379259</v>
      </c>
      <c r="E927" s="35">
        <v>309.64340870856995</v>
      </c>
      <c r="F927" s="35">
        <v>265.17084752316697</v>
      </c>
      <c r="G927" s="35">
        <v>270.79013596817236</v>
      </c>
      <c r="H927" s="35">
        <v>274.45347523007354</v>
      </c>
      <c r="I927" s="35">
        <v>310.59142738701809</v>
      </c>
      <c r="J927" s="35">
        <v>349.62780830422099</v>
      </c>
      <c r="K927" s="35">
        <v>335.27596630503825</v>
      </c>
      <c r="L927" s="35">
        <v>421.67319876787957</v>
      </c>
    </row>
    <row r="928" spans="1:12">
      <c r="A928" s="35">
        <v>240.23659655769347</v>
      </c>
      <c r="B928" s="35">
        <v>265.89687370908848</v>
      </c>
      <c r="C928" s="35">
        <v>238.41556457661684</v>
      </c>
      <c r="D928" s="35">
        <v>233.63294240262476</v>
      </c>
      <c r="E928" s="35">
        <v>263.52712700388133</v>
      </c>
      <c r="F928" s="35">
        <v>230.59921500717724</v>
      </c>
      <c r="G928" s="35">
        <v>243.27529693433877</v>
      </c>
      <c r="H928" s="35">
        <v>238.2773801764468</v>
      </c>
      <c r="I928" s="35">
        <v>279.06264721071625</v>
      </c>
      <c r="J928" s="35">
        <v>285.05240693239307</v>
      </c>
      <c r="K928" s="35">
        <v>306.99206236572246</v>
      </c>
      <c r="L928" s="35">
        <v>361.94405859729289</v>
      </c>
    </row>
    <row r="929" spans="1:12">
      <c r="A929" s="35">
        <v>229.98383035368957</v>
      </c>
      <c r="B929" s="35">
        <v>258.27978964175713</v>
      </c>
      <c r="C929" s="35">
        <v>223.23614937822362</v>
      </c>
      <c r="D929" s="35">
        <v>238.69656549898028</v>
      </c>
      <c r="E929" s="35">
        <v>261.57262871563211</v>
      </c>
      <c r="F929" s="35">
        <v>217.87153043439042</v>
      </c>
      <c r="G929" s="35">
        <v>220.54772100406097</v>
      </c>
      <c r="H929" s="35">
        <v>250.0707104286036</v>
      </c>
      <c r="I929" s="35">
        <v>257.72603174407607</v>
      </c>
      <c r="J929" s="35">
        <v>259.34065133227409</v>
      </c>
      <c r="K929" s="35">
        <v>279.98231713863993</v>
      </c>
      <c r="L929" s="35">
        <v>312.85838561959235</v>
      </c>
    </row>
    <row r="930" spans="1:12">
      <c r="A930" s="35">
        <v>234.62658137696263</v>
      </c>
      <c r="B930" s="35">
        <v>269.17719336616096</v>
      </c>
      <c r="C930" s="35">
        <v>245.28505142025682</v>
      </c>
      <c r="D930" s="35">
        <v>233.49157401972394</v>
      </c>
      <c r="E930" s="35">
        <v>262.86514581093968</v>
      </c>
      <c r="F930" s="35">
        <v>244.02402087314482</v>
      </c>
      <c r="G930" s="35">
        <v>249.60058530633165</v>
      </c>
      <c r="H930" s="35">
        <v>263.44100834715289</v>
      </c>
      <c r="I930" s="35">
        <v>269.20336618471572</v>
      </c>
      <c r="J930" s="35">
        <v>292.22128614513252</v>
      </c>
      <c r="K930" s="35">
        <v>285.41654993269674</v>
      </c>
      <c r="L930" s="35">
        <v>348.02028610616338</v>
      </c>
    </row>
    <row r="931" spans="1:12">
      <c r="A931" s="35">
        <v>239.89583933582745</v>
      </c>
      <c r="B931" s="35">
        <v>254.06087021566836</v>
      </c>
      <c r="C931" s="35">
        <v>243.85314588479696</v>
      </c>
      <c r="D931" s="35">
        <v>229.08696007957377</v>
      </c>
      <c r="E931" s="35">
        <v>269.91228218561747</v>
      </c>
      <c r="F931" s="35">
        <v>228.79994819044558</v>
      </c>
      <c r="G931" s="35">
        <v>224.1732718302427</v>
      </c>
      <c r="H931" s="35">
        <v>248.28723501915471</v>
      </c>
      <c r="I931" s="35">
        <v>273.7706965945938</v>
      </c>
      <c r="J931" s="35">
        <v>281.13957104333474</v>
      </c>
      <c r="K931" s="35">
        <v>285.69185950172636</v>
      </c>
      <c r="L931" s="35">
        <v>329.75075868503893</v>
      </c>
    </row>
    <row r="932" spans="1:12">
      <c r="A932" s="35">
        <v>247.88644833796087</v>
      </c>
      <c r="B932" s="35">
        <v>267.25942825452648</v>
      </c>
      <c r="C932" s="35">
        <v>242.92761594084686</v>
      </c>
      <c r="D932" s="35">
        <v>252.60958544078383</v>
      </c>
      <c r="E932" s="35">
        <v>277.01103643307681</v>
      </c>
      <c r="F932" s="35">
        <v>244.27313932532741</v>
      </c>
      <c r="G932" s="35">
        <v>246.48172677772186</v>
      </c>
      <c r="H932" s="35">
        <v>265.74235483448047</v>
      </c>
      <c r="I932" s="35">
        <v>286.10769235419605</v>
      </c>
      <c r="J932" s="35">
        <v>292.39571714148929</v>
      </c>
      <c r="K932" s="35">
        <v>296.80308614430908</v>
      </c>
      <c r="L932" s="35">
        <v>358.75325820716034</v>
      </c>
    </row>
    <row r="933" spans="1:12">
      <c r="A933" s="35">
        <v>250.47014672438695</v>
      </c>
      <c r="B933" s="35">
        <v>291.03875967579279</v>
      </c>
      <c r="C933" s="35">
        <v>242.77393160973895</v>
      </c>
      <c r="D933" s="35">
        <v>263.42292432333812</v>
      </c>
      <c r="E933" s="35">
        <v>282.26545439149197</v>
      </c>
      <c r="F933" s="35">
        <v>273.06962524340764</v>
      </c>
      <c r="G933" s="35">
        <v>286.91139677076825</v>
      </c>
      <c r="H933" s="35">
        <v>280.74901126897328</v>
      </c>
      <c r="I933" s="35">
        <v>289.50412301500569</v>
      </c>
      <c r="J933" s="35">
        <v>331.33336524987556</v>
      </c>
      <c r="K933" s="35">
        <v>347.13121480256081</v>
      </c>
      <c r="L933" s="35">
        <v>417.57392915903614</v>
      </c>
    </row>
    <row r="934" spans="1:12">
      <c r="A934" s="35">
        <v>232.74620371366797</v>
      </c>
      <c r="B934" s="35">
        <v>264.83299125539094</v>
      </c>
      <c r="C934" s="35">
        <v>227.80182546648223</v>
      </c>
      <c r="D934" s="35">
        <v>217.21238553573653</v>
      </c>
      <c r="E934" s="35">
        <v>271.92759207761776</v>
      </c>
      <c r="F934" s="35">
        <v>233.62950587010835</v>
      </c>
      <c r="G934" s="35">
        <v>229.09493790692247</v>
      </c>
      <c r="H934" s="35">
        <v>242.75288690103446</v>
      </c>
      <c r="I934" s="35">
        <v>263.61677757183742</v>
      </c>
      <c r="J934" s="35">
        <v>273.57384696376744</v>
      </c>
      <c r="K934" s="35">
        <v>292.95617167616473</v>
      </c>
      <c r="L934" s="35">
        <v>343.21680982203497</v>
      </c>
    </row>
    <row r="935" spans="1:12">
      <c r="A935" s="35">
        <v>249.09458178232452</v>
      </c>
      <c r="B935" s="35">
        <v>279.10478738653541</v>
      </c>
      <c r="C935" s="35">
        <v>261.63271493351596</v>
      </c>
      <c r="D935" s="35">
        <v>257.22699513868235</v>
      </c>
      <c r="E935" s="35">
        <v>307.03585616455842</v>
      </c>
      <c r="F935" s="35">
        <v>274.68667333716411</v>
      </c>
      <c r="G935" s="35">
        <v>265.88048371301107</v>
      </c>
      <c r="H935" s="35">
        <v>279.96862719246246</v>
      </c>
      <c r="I935" s="35">
        <v>303.86716347760341</v>
      </c>
      <c r="J935" s="35">
        <v>314.53653833715009</v>
      </c>
      <c r="K935" s="35">
        <v>361.06469919711009</v>
      </c>
      <c r="L935" s="35">
        <v>389.02418640307906</v>
      </c>
    </row>
    <row r="936" spans="1:12">
      <c r="A936" s="35">
        <v>236.18864564928936</v>
      </c>
      <c r="B936" s="35">
        <v>263.90160259514016</v>
      </c>
      <c r="C936" s="35">
        <v>217.92066531778013</v>
      </c>
      <c r="D936" s="35">
        <v>204.11256653780654</v>
      </c>
      <c r="E936" s="35">
        <v>250.54256322660979</v>
      </c>
      <c r="F936" s="35">
        <v>223.74093877863081</v>
      </c>
      <c r="G936" s="35">
        <v>239.63260515335196</v>
      </c>
      <c r="H936" s="35">
        <v>223.93922040191413</v>
      </c>
      <c r="I936" s="35">
        <v>257.64560529331959</v>
      </c>
      <c r="J936" s="35">
        <v>253.47873734408267</v>
      </c>
      <c r="K936" s="35">
        <v>261.08404747122546</v>
      </c>
      <c r="L936" s="35">
        <v>316.04202762190636</v>
      </c>
    </row>
    <row r="937" spans="1:12">
      <c r="A937" s="35">
        <v>232.55748265487981</v>
      </c>
      <c r="B937" s="35">
        <v>243.13739668392358</v>
      </c>
      <c r="C937" s="35">
        <v>257.58520658995457</v>
      </c>
      <c r="D937" s="35">
        <v>244.88501987490545</v>
      </c>
      <c r="E937" s="35">
        <v>277.3612226151435</v>
      </c>
      <c r="F937" s="35">
        <v>239.50424020125442</v>
      </c>
      <c r="G937" s="35">
        <v>258.9616001112019</v>
      </c>
      <c r="H937" s="35">
        <v>259.11791554158424</v>
      </c>
      <c r="I937" s="35">
        <v>275.10829104911113</v>
      </c>
      <c r="J937" s="35">
        <v>274.51022332341853</v>
      </c>
      <c r="K937" s="35">
        <v>318.49360549190686</v>
      </c>
      <c r="L937" s="35">
        <v>353.87126318667919</v>
      </c>
    </row>
    <row r="938" spans="1:12">
      <c r="A938" s="35">
        <v>244.76969500129752</v>
      </c>
      <c r="B938" s="35">
        <v>267.10178995685203</v>
      </c>
      <c r="C938" s="35">
        <v>220.37063057519458</v>
      </c>
      <c r="D938" s="35">
        <v>241.99871481874786</v>
      </c>
      <c r="E938" s="35">
        <v>282.86138634779155</v>
      </c>
      <c r="F938" s="35">
        <v>243.39813238639712</v>
      </c>
      <c r="G938" s="35">
        <v>253.46911568640428</v>
      </c>
      <c r="H938" s="35">
        <v>257.83601020746113</v>
      </c>
      <c r="I938" s="35">
        <v>287.16212994336877</v>
      </c>
      <c r="J938" s="35">
        <v>308.17737515168596</v>
      </c>
      <c r="K938" s="35">
        <v>315.96772383783008</v>
      </c>
      <c r="L938" s="35">
        <v>358.02478162882443</v>
      </c>
    </row>
    <row r="939" spans="1:12">
      <c r="A939" s="35">
        <v>251.54731038068456</v>
      </c>
      <c r="B939" s="35">
        <v>274.15522847843664</v>
      </c>
      <c r="C939" s="35">
        <v>255.86881368163674</v>
      </c>
      <c r="D939" s="35">
        <v>254.16729738821755</v>
      </c>
      <c r="E939" s="35">
        <v>300.75156599692633</v>
      </c>
      <c r="F939" s="35">
        <v>255.14681830653467</v>
      </c>
      <c r="G939" s="35">
        <v>266.70584369442264</v>
      </c>
      <c r="H939" s="35">
        <v>288.2414084927882</v>
      </c>
      <c r="I939" s="35">
        <v>304.4923276233983</v>
      </c>
      <c r="J939" s="35">
        <v>322.08464996845447</v>
      </c>
      <c r="K939" s="35">
        <v>328.53525072994836</v>
      </c>
      <c r="L939" s="35">
        <v>407.35048666781603</v>
      </c>
    </row>
    <row r="940" spans="1:12">
      <c r="A940" s="35">
        <v>256.06625469136571</v>
      </c>
      <c r="B940" s="35">
        <v>287.92646812272432</v>
      </c>
      <c r="C940" s="35">
        <v>244.61678665777808</v>
      </c>
      <c r="D940" s="35">
        <v>245.28621191887896</v>
      </c>
      <c r="E940" s="35">
        <v>297.21562114245046</v>
      </c>
      <c r="F940" s="35">
        <v>258.3839510192264</v>
      </c>
      <c r="G940" s="35">
        <v>270.88375533170978</v>
      </c>
      <c r="H940" s="35">
        <v>273.64298003140874</v>
      </c>
      <c r="I940" s="35">
        <v>292.53594751089798</v>
      </c>
      <c r="J940" s="35">
        <v>303.04542804769625</v>
      </c>
      <c r="K940" s="35">
        <v>340.49967034412089</v>
      </c>
      <c r="L940" s="35">
        <v>391.17929055245321</v>
      </c>
    </row>
    <row r="941" spans="1:12">
      <c r="A941" s="35">
        <v>247.42530494557369</v>
      </c>
      <c r="B941" s="35">
        <v>257.08122086414858</v>
      </c>
      <c r="C941" s="35">
        <v>234.97590659126178</v>
      </c>
      <c r="D941" s="35">
        <v>246.47586120261593</v>
      </c>
      <c r="E941" s="35">
        <v>291.97882227737006</v>
      </c>
      <c r="F941" s="35">
        <v>253.37832671900381</v>
      </c>
      <c r="G941" s="35">
        <v>254.50219194178825</v>
      </c>
      <c r="H941" s="35">
        <v>277.92957790789404</v>
      </c>
      <c r="I941" s="35">
        <v>291.52011166601665</v>
      </c>
      <c r="J941" s="35">
        <v>307.1170632060427</v>
      </c>
      <c r="K941" s="35">
        <v>325.11576117679357</v>
      </c>
      <c r="L941" s="35">
        <v>385.96097383068337</v>
      </c>
    </row>
    <row r="942" spans="1:12">
      <c r="A942" s="35">
        <v>241.81929424602748</v>
      </c>
      <c r="B942" s="35">
        <v>265.99007743309699</v>
      </c>
      <c r="C942" s="35">
        <v>257.52160503861279</v>
      </c>
      <c r="D942" s="35">
        <v>240.79747205920253</v>
      </c>
      <c r="E942" s="35">
        <v>302.37382759879466</v>
      </c>
      <c r="F942" s="35">
        <v>246.41531440675223</v>
      </c>
      <c r="G942" s="35">
        <v>252.96918934104389</v>
      </c>
      <c r="H942" s="35">
        <v>272.60087389903788</v>
      </c>
      <c r="I942" s="35">
        <v>304.07531416401497</v>
      </c>
      <c r="J942" s="35">
        <v>308.12009692014567</v>
      </c>
      <c r="K942" s="35">
        <v>309.95631046892157</v>
      </c>
      <c r="L942" s="35">
        <v>371.82473427180702</v>
      </c>
    </row>
    <row r="943" spans="1:12">
      <c r="A943" s="35">
        <v>247.42041645652037</v>
      </c>
      <c r="B943" s="35">
        <v>290.02884527663764</v>
      </c>
      <c r="C943" s="35">
        <v>249.13590728506344</v>
      </c>
      <c r="D943" s="35">
        <v>257.74914876442165</v>
      </c>
      <c r="E943" s="35">
        <v>311.63941979689059</v>
      </c>
      <c r="F943" s="35">
        <v>269.72095671780619</v>
      </c>
      <c r="G943" s="35">
        <v>280.00280447631923</v>
      </c>
      <c r="H943" s="35">
        <v>295.24603088714338</v>
      </c>
      <c r="I943" s="35">
        <v>303.37190656302573</v>
      </c>
      <c r="J943" s="35">
        <v>343.44006440013675</v>
      </c>
      <c r="K943" s="35">
        <v>364.01074254257122</v>
      </c>
      <c r="L943" s="35">
        <v>428.63222480302142</v>
      </c>
    </row>
    <row r="944" spans="1:12">
      <c r="A944" s="35">
        <v>252.03012811822765</v>
      </c>
      <c r="B944" s="35">
        <v>272.38096612663185</v>
      </c>
      <c r="C944" s="35">
        <v>241.35228321660233</v>
      </c>
      <c r="D944" s="35">
        <v>239.68679014689292</v>
      </c>
      <c r="E944" s="35">
        <v>284.13149069503891</v>
      </c>
      <c r="F944" s="35">
        <v>235.62647506765492</v>
      </c>
      <c r="G944" s="35">
        <v>261.38986513607477</v>
      </c>
      <c r="H944" s="35">
        <v>265.61333099001331</v>
      </c>
      <c r="I944" s="35">
        <v>297.4626269156235</v>
      </c>
      <c r="J944" s="35">
        <v>294.20001550910536</v>
      </c>
      <c r="K944" s="35">
        <v>332.91536830646351</v>
      </c>
      <c r="L944" s="35">
        <v>356.70242527564147</v>
      </c>
    </row>
    <row r="945" spans="1:12">
      <c r="A945" s="35">
        <v>235.780670204676</v>
      </c>
      <c r="B945" s="35">
        <v>240.61270083107823</v>
      </c>
      <c r="C945" s="35">
        <v>215.45532205094534</v>
      </c>
      <c r="D945" s="35">
        <v>229.9961067378259</v>
      </c>
      <c r="E945" s="35">
        <v>251.69251104855928</v>
      </c>
      <c r="F945" s="35">
        <v>227.80282397695217</v>
      </c>
      <c r="G945" s="35">
        <v>221.10787726088145</v>
      </c>
      <c r="H945" s="35">
        <v>223.12655241076479</v>
      </c>
      <c r="I945" s="35">
        <v>236.45336628668741</v>
      </c>
      <c r="J945" s="35">
        <v>256.1122960200114</v>
      </c>
      <c r="K945" s="35">
        <v>253.23542837018331</v>
      </c>
      <c r="L945" s="35">
        <v>284.63972351512882</v>
      </c>
    </row>
    <row r="946" spans="1:12">
      <c r="A946" s="35">
        <v>247.65157568626628</v>
      </c>
      <c r="B946" s="35">
        <v>282.3270622818377</v>
      </c>
      <c r="C946" s="35">
        <v>257.02683833595768</v>
      </c>
      <c r="D946" s="35">
        <v>240.97741650971449</v>
      </c>
      <c r="E946" s="35">
        <v>292.14468359495942</v>
      </c>
      <c r="F946" s="35">
        <v>253.81184430199849</v>
      </c>
      <c r="G946" s="35">
        <v>277.70644628805491</v>
      </c>
      <c r="H946" s="35">
        <v>283.8395154561174</v>
      </c>
      <c r="I946" s="35">
        <v>300.41760430136469</v>
      </c>
      <c r="J946" s="35">
        <v>335.75035958945256</v>
      </c>
      <c r="K946" s="35">
        <v>330.65619367194529</v>
      </c>
      <c r="L946" s="35">
        <v>399.16307912675734</v>
      </c>
    </row>
    <row r="947" spans="1:12">
      <c r="A947" s="35">
        <v>252.39394857795719</v>
      </c>
      <c r="B947" s="35">
        <v>263.35748759520237</v>
      </c>
      <c r="C947" s="35">
        <v>238.6274722088944</v>
      </c>
      <c r="D947" s="35">
        <v>239.72564656192625</v>
      </c>
      <c r="E947" s="35">
        <v>267.97367333127369</v>
      </c>
      <c r="F947" s="35">
        <v>241.81888969939226</v>
      </c>
      <c r="G947" s="35">
        <v>237.2134978306367</v>
      </c>
      <c r="H947" s="35">
        <v>244.8690106602227</v>
      </c>
      <c r="I947" s="35">
        <v>254.38516920356727</v>
      </c>
      <c r="J947" s="35">
        <v>283.77722684581676</v>
      </c>
      <c r="K947" s="35">
        <v>311.70670124505955</v>
      </c>
      <c r="L947" s="35">
        <v>348.37399707402926</v>
      </c>
    </row>
    <row r="948" spans="1:12">
      <c r="A948" s="35">
        <v>262.55506536493442</v>
      </c>
      <c r="B948" s="35">
        <v>275.88552202668319</v>
      </c>
      <c r="C948" s="35">
        <v>252.28639670726352</v>
      </c>
      <c r="D948" s="35">
        <v>270.58623992515044</v>
      </c>
      <c r="E948" s="35">
        <v>303.20421477573171</v>
      </c>
      <c r="F948" s="35">
        <v>260.44340029878367</v>
      </c>
      <c r="G948" s="35">
        <v>284.77394979616554</v>
      </c>
      <c r="H948" s="35">
        <v>284.26837613019842</v>
      </c>
      <c r="I948" s="35">
        <v>323.90534766676865</v>
      </c>
      <c r="J948" s="35">
        <v>323.16440489144787</v>
      </c>
      <c r="K948" s="35">
        <v>337.2824820059036</v>
      </c>
      <c r="L948" s="35">
        <v>412.46711021292276</v>
      </c>
    </row>
    <row r="949" spans="1:12">
      <c r="A949" s="35">
        <v>249.67726530212946</v>
      </c>
      <c r="B949" s="35">
        <v>275.60412042181326</v>
      </c>
      <c r="C949" s="35">
        <v>230.69200392993002</v>
      </c>
      <c r="D949" s="35">
        <v>249.29647997445733</v>
      </c>
      <c r="E949" s="35">
        <v>286.44326335776918</v>
      </c>
      <c r="F949" s="35">
        <v>244.95529866684197</v>
      </c>
      <c r="G949" s="35">
        <v>246.50717177708702</v>
      </c>
      <c r="H949" s="35">
        <v>263.33824979280462</v>
      </c>
      <c r="I949" s="35">
        <v>276.92110979704853</v>
      </c>
      <c r="J949" s="35">
        <v>288.86399432349975</v>
      </c>
      <c r="K949" s="35">
        <v>308.630732134303</v>
      </c>
      <c r="L949" s="35">
        <v>348.14580795331398</v>
      </c>
    </row>
    <row r="950" spans="1:12">
      <c r="A950" s="35">
        <v>238.99010031603626</v>
      </c>
      <c r="B950" s="35">
        <v>268.81131365865002</v>
      </c>
      <c r="C950" s="35">
        <v>237.16329353182763</v>
      </c>
      <c r="D950" s="35">
        <v>237.9155290781471</v>
      </c>
      <c r="E950" s="35">
        <v>284.52058990060385</v>
      </c>
      <c r="F950" s="35">
        <v>240.94673823564429</v>
      </c>
      <c r="G950" s="35">
        <v>247.70430341016424</v>
      </c>
      <c r="H950" s="35">
        <v>249.79877157871383</v>
      </c>
      <c r="I950" s="35">
        <v>277.60890512887528</v>
      </c>
      <c r="J950" s="35">
        <v>278.66563517163377</v>
      </c>
      <c r="K950" s="35">
        <v>288.84824879709117</v>
      </c>
      <c r="L950" s="35">
        <v>365.61523678598439</v>
      </c>
    </row>
    <row r="951" spans="1:12">
      <c r="A951" s="35">
        <v>248.60665964007896</v>
      </c>
      <c r="B951" s="35">
        <v>274.9381321618435</v>
      </c>
      <c r="C951" s="35">
        <v>258.32964290999303</v>
      </c>
      <c r="D951" s="35">
        <v>268.16949843251768</v>
      </c>
      <c r="E951" s="35">
        <v>299.55620088431033</v>
      </c>
      <c r="F951" s="35">
        <v>268.1631720589823</v>
      </c>
      <c r="G951" s="35">
        <v>282.79219189384082</v>
      </c>
      <c r="H951" s="35">
        <v>282.10662360482672</v>
      </c>
      <c r="I951" s="35">
        <v>309.54391322090481</v>
      </c>
      <c r="J951" s="35">
        <v>343.53539144228807</v>
      </c>
      <c r="K951" s="35">
        <v>375.5305137922839</v>
      </c>
      <c r="L951" s="35">
        <v>438.82063481014859</v>
      </c>
    </row>
    <row r="952" spans="1:12">
      <c r="A952" s="35">
        <v>244.19005435387865</v>
      </c>
      <c r="B952" s="35">
        <v>271.13049398768908</v>
      </c>
      <c r="C952" s="35">
        <v>249.72796022776694</v>
      </c>
      <c r="D952" s="35">
        <v>234.71139760629075</v>
      </c>
      <c r="E952" s="35">
        <v>275.15244936989478</v>
      </c>
      <c r="F952" s="35">
        <v>252.38007533895231</v>
      </c>
      <c r="G952" s="35">
        <v>250.38964013698245</v>
      </c>
      <c r="H952" s="35">
        <v>274.30695884389922</v>
      </c>
      <c r="I952" s="35">
        <v>286.13644222907243</v>
      </c>
      <c r="J952" s="35">
        <v>297.79883515748975</v>
      </c>
      <c r="K952" s="35">
        <v>308.12930502668917</v>
      </c>
      <c r="L952" s="35">
        <v>388.06622886131157</v>
      </c>
    </row>
    <row r="953" spans="1:12">
      <c r="A953" s="35">
        <v>240.19184637810289</v>
      </c>
      <c r="B953" s="35">
        <v>260.50824115124954</v>
      </c>
      <c r="C953" s="35">
        <v>222.96070764866425</v>
      </c>
      <c r="D953" s="35">
        <v>228.30829329840719</v>
      </c>
      <c r="E953" s="35">
        <v>286.0761471617019</v>
      </c>
      <c r="F953" s="35">
        <v>232.66317795530463</v>
      </c>
      <c r="G953" s="35">
        <v>234.84788837168642</v>
      </c>
      <c r="H953" s="35">
        <v>247.21874480825392</v>
      </c>
      <c r="I953" s="35">
        <v>259.96337675597943</v>
      </c>
      <c r="J953" s="35">
        <v>268.38902057548728</v>
      </c>
      <c r="K953" s="35">
        <v>286.48702472966971</v>
      </c>
      <c r="L953" s="35">
        <v>332.86786274377596</v>
      </c>
    </row>
    <row r="954" spans="1:12">
      <c r="A954" s="35">
        <v>249.4114219425833</v>
      </c>
      <c r="B954" s="35">
        <v>281.38118827557292</v>
      </c>
      <c r="C954" s="35">
        <v>250.26228802878481</v>
      </c>
      <c r="D954" s="35">
        <v>254.27708877699567</v>
      </c>
      <c r="E954" s="35">
        <v>305.24866553804731</v>
      </c>
      <c r="F954" s="35">
        <v>258.30288532424066</v>
      </c>
      <c r="G954" s="35">
        <v>273.55116326809866</v>
      </c>
      <c r="H954" s="35">
        <v>276.48745344136245</v>
      </c>
      <c r="I954" s="35">
        <v>282.7910208110045</v>
      </c>
      <c r="J954" s="35">
        <v>329.84172457163214</v>
      </c>
      <c r="K954" s="35">
        <v>348.30368858544989</v>
      </c>
      <c r="L954" s="35">
        <v>385.08229167877266</v>
      </c>
    </row>
    <row r="955" spans="1:12">
      <c r="A955" s="35">
        <v>258.81989039062313</v>
      </c>
      <c r="B955" s="35">
        <v>285.61826996216269</v>
      </c>
      <c r="C955" s="35">
        <v>242.03805125972437</v>
      </c>
      <c r="D955" s="35">
        <v>258.24017891206847</v>
      </c>
      <c r="E955" s="35">
        <v>289.71451666391624</v>
      </c>
      <c r="F955" s="35">
        <v>270.32723593567573</v>
      </c>
      <c r="G955" s="35">
        <v>277.11472778339669</v>
      </c>
      <c r="H955" s="35">
        <v>293.82664769010313</v>
      </c>
      <c r="I955" s="35">
        <v>322.52675423163953</v>
      </c>
      <c r="J955" s="35">
        <v>324.94221615217771</v>
      </c>
      <c r="K955" s="35">
        <v>352.11754740982889</v>
      </c>
      <c r="L955" s="35">
        <v>407.47932464535563</v>
      </c>
    </row>
    <row r="956" spans="1:12">
      <c r="A956" s="35">
        <v>236.49366979501991</v>
      </c>
      <c r="B956" s="35">
        <v>249.54367328887335</v>
      </c>
      <c r="C956" s="35">
        <v>239.62731829789394</v>
      </c>
      <c r="D956" s="35">
        <v>220.84534323335805</v>
      </c>
      <c r="E956" s="35">
        <v>274.31840437050909</v>
      </c>
      <c r="F956" s="35">
        <v>257.70503978559418</v>
      </c>
      <c r="G956" s="35">
        <v>258.15470128115209</v>
      </c>
      <c r="H956" s="35">
        <v>261.79560955863246</v>
      </c>
      <c r="I956" s="35">
        <v>302.16553783998415</v>
      </c>
      <c r="J956" s="35">
        <v>314.78145086593901</v>
      </c>
      <c r="K956" s="35">
        <v>316.62084041480165</v>
      </c>
      <c r="L956" s="35">
        <v>392.1609460378188</v>
      </c>
    </row>
    <row r="957" spans="1:12">
      <c r="A957" s="35">
        <v>251.50298417491808</v>
      </c>
      <c r="B957" s="35">
        <v>263.15585151317873</v>
      </c>
      <c r="C957" s="35">
        <v>215.1053220635545</v>
      </c>
      <c r="D957" s="35">
        <v>235.55281823084295</v>
      </c>
      <c r="E957" s="35">
        <v>281.62718066283452</v>
      </c>
      <c r="F957" s="35">
        <v>227.97921504779089</v>
      </c>
      <c r="G957" s="35">
        <v>241.59798531538942</v>
      </c>
      <c r="H957" s="35">
        <v>252.3442280531319</v>
      </c>
      <c r="I957" s="35">
        <v>270.82820351708801</v>
      </c>
      <c r="J957" s="35">
        <v>287.5248644275689</v>
      </c>
      <c r="K957" s="35">
        <v>318.44766324041387</v>
      </c>
      <c r="L957" s="35">
        <v>351.70411060914108</v>
      </c>
    </row>
    <row r="958" spans="1:12">
      <c r="A958" s="35">
        <v>241.72145313635647</v>
      </c>
      <c r="B958" s="35">
        <v>260.75663852327796</v>
      </c>
      <c r="C958" s="35">
        <v>224.21962603769731</v>
      </c>
      <c r="D958" s="35">
        <v>231.195324673703</v>
      </c>
      <c r="E958" s="35">
        <v>255.50446388191114</v>
      </c>
      <c r="F958" s="35">
        <v>227.25886784859185</v>
      </c>
      <c r="G958" s="35">
        <v>227.19416359523285</v>
      </c>
      <c r="H958" s="35">
        <v>233.9773656580719</v>
      </c>
      <c r="I958" s="35">
        <v>246.40384875642047</v>
      </c>
      <c r="J958" s="35">
        <v>271.04090184995681</v>
      </c>
      <c r="K958" s="35">
        <v>265.46195907456541</v>
      </c>
      <c r="L958" s="35">
        <v>290.43623573635705</v>
      </c>
    </row>
    <row r="959" spans="1:12">
      <c r="A959" s="35">
        <v>245.13913342657514</v>
      </c>
      <c r="B959" s="35">
        <v>276.05620980651895</v>
      </c>
      <c r="C959" s="35">
        <v>242.74139329584753</v>
      </c>
      <c r="D959" s="35">
        <v>263.28053815916769</v>
      </c>
      <c r="E959" s="35">
        <v>277.52223126740569</v>
      </c>
      <c r="F959" s="35">
        <v>257.20875300921688</v>
      </c>
      <c r="G959" s="35">
        <v>272.80391608148426</v>
      </c>
      <c r="H959" s="35">
        <v>285.66256801886988</v>
      </c>
      <c r="I959" s="35">
        <v>290.74572399551363</v>
      </c>
      <c r="J959" s="35">
        <v>332.03515736509246</v>
      </c>
      <c r="K959" s="35">
        <v>333.50864454621421</v>
      </c>
      <c r="L959" s="35">
        <v>385.38348392224771</v>
      </c>
    </row>
    <row r="960" spans="1:12">
      <c r="A960" s="35">
        <v>241.27210244619496</v>
      </c>
      <c r="B960" s="35">
        <v>259.89333827157918</v>
      </c>
      <c r="C960" s="35">
        <v>235.07102937373796</v>
      </c>
      <c r="D960" s="35">
        <v>230.88066541091055</v>
      </c>
      <c r="E960" s="35">
        <v>280.97556825762655</v>
      </c>
      <c r="F960" s="35">
        <v>253.05288491007104</v>
      </c>
      <c r="G960" s="35">
        <v>251.743399475437</v>
      </c>
      <c r="H960" s="35">
        <v>252.53913492475976</v>
      </c>
      <c r="I960" s="35">
        <v>283.33361035144861</v>
      </c>
      <c r="J960" s="35">
        <v>295.48336011053993</v>
      </c>
      <c r="K960" s="35">
        <v>318.81819385862502</v>
      </c>
      <c r="L960" s="35">
        <v>383.33884782378146</v>
      </c>
    </row>
    <row r="961" spans="1:12">
      <c r="A961" s="35">
        <v>249.69793012879774</v>
      </c>
      <c r="B961" s="35">
        <v>275.20260247230772</v>
      </c>
      <c r="C961" s="35">
        <v>260.08624236815058</v>
      </c>
      <c r="D961" s="35">
        <v>246.69782006363354</v>
      </c>
      <c r="E961" s="35">
        <v>291.34925994421479</v>
      </c>
      <c r="F961" s="35">
        <v>254.56188265721931</v>
      </c>
      <c r="G961" s="35">
        <v>257.48370933442817</v>
      </c>
      <c r="H961" s="35">
        <v>270.21230690582235</v>
      </c>
      <c r="I961" s="35">
        <v>285.34260924486802</v>
      </c>
      <c r="J961" s="35">
        <v>307.92118189991265</v>
      </c>
      <c r="K961" s="35">
        <v>324.98660437993271</v>
      </c>
      <c r="L961" s="35">
        <v>384.30369569357464</v>
      </c>
    </row>
    <row r="962" spans="1:12">
      <c r="A962" s="35">
        <v>242.6492679305392</v>
      </c>
      <c r="B962" s="35">
        <v>268.79956478134153</v>
      </c>
      <c r="C962" s="35">
        <v>244.03365672843981</v>
      </c>
      <c r="D962" s="35">
        <v>254.00645163359056</v>
      </c>
      <c r="E962" s="35">
        <v>293.01726609850056</v>
      </c>
      <c r="F962" s="35">
        <v>237.92760070052503</v>
      </c>
      <c r="G962" s="35">
        <v>257.80742970408545</v>
      </c>
      <c r="H962" s="35">
        <v>252.15635795300591</v>
      </c>
      <c r="I962" s="35">
        <v>277.35861801050987</v>
      </c>
      <c r="J962" s="35">
        <v>292.91542369861003</v>
      </c>
      <c r="K962" s="35">
        <v>292.22476023242604</v>
      </c>
      <c r="L962" s="35">
        <v>337.00877753042653</v>
      </c>
    </row>
    <row r="963" spans="1:12">
      <c r="A963" s="35">
        <v>255.03475116042816</v>
      </c>
      <c r="B963" s="35">
        <v>275.94425725949071</v>
      </c>
      <c r="C963" s="35">
        <v>241.55957092241263</v>
      </c>
      <c r="D963" s="35">
        <v>239.45087988454424</v>
      </c>
      <c r="E963" s="35">
        <v>282.58974825087728</v>
      </c>
      <c r="F963" s="35">
        <v>256.61522876389841</v>
      </c>
      <c r="G963" s="35">
        <v>261.80431506555436</v>
      </c>
      <c r="H963" s="35">
        <v>271.22715347776148</v>
      </c>
      <c r="I963" s="35">
        <v>290.15250847178135</v>
      </c>
      <c r="J963" s="35">
        <v>308.48700375287478</v>
      </c>
      <c r="K963" s="35">
        <v>317.29867845964617</v>
      </c>
      <c r="L963" s="35">
        <v>374.33816590697285</v>
      </c>
    </row>
    <row r="964" spans="1:12">
      <c r="A964" s="35">
        <v>244.60130606044001</v>
      </c>
      <c r="B964" s="35">
        <v>237.10561468380047</v>
      </c>
      <c r="C964" s="35">
        <v>258.63500525853573</v>
      </c>
      <c r="D964" s="35">
        <v>225.8610952549017</v>
      </c>
      <c r="E964" s="35">
        <v>289.66175585830291</v>
      </c>
      <c r="F964" s="35">
        <v>242.01371789850521</v>
      </c>
      <c r="G964" s="35">
        <v>259.07669835265381</v>
      </c>
      <c r="H964" s="35">
        <v>264.37903275234032</v>
      </c>
      <c r="I964" s="35">
        <v>296.01611578227914</v>
      </c>
      <c r="J964" s="35">
        <v>292.72791979362097</v>
      </c>
      <c r="K964" s="35">
        <v>304.546145885295</v>
      </c>
      <c r="L964" s="35">
        <v>353.59860210866697</v>
      </c>
    </row>
    <row r="965" spans="1:12">
      <c r="A965" s="35">
        <v>234.22133373215081</v>
      </c>
      <c r="B965" s="35">
        <v>256.29120036640018</v>
      </c>
      <c r="C965" s="35">
        <v>231.46389886242804</v>
      </c>
      <c r="D965" s="35">
        <v>250.78264134679449</v>
      </c>
      <c r="E965" s="35">
        <v>263.26369053678411</v>
      </c>
      <c r="F965" s="35">
        <v>237.05052292260132</v>
      </c>
      <c r="G965" s="35">
        <v>252.76414323965454</v>
      </c>
      <c r="H965" s="35">
        <v>253.68548117566928</v>
      </c>
      <c r="I965" s="35">
        <v>294.23680768507148</v>
      </c>
      <c r="J965" s="35">
        <v>292.15384742382901</v>
      </c>
      <c r="K965" s="35">
        <v>293.00194257653385</v>
      </c>
      <c r="L965" s="35">
        <v>355.45506390707783</v>
      </c>
    </row>
    <row r="966" spans="1:12">
      <c r="A966" s="35">
        <v>225.76178898105292</v>
      </c>
      <c r="B966" s="35">
        <v>260.08094226466989</v>
      </c>
      <c r="C966" s="35">
        <v>253.23169147744738</v>
      </c>
      <c r="D966" s="35">
        <v>243.59268897295695</v>
      </c>
      <c r="E966" s="35">
        <v>292.04997538609058</v>
      </c>
      <c r="F966" s="35">
        <v>260.79467039054038</v>
      </c>
      <c r="G966" s="35">
        <v>277.95473573733886</v>
      </c>
      <c r="H966" s="35">
        <v>273.44240097111799</v>
      </c>
      <c r="I966" s="35">
        <v>293.99378553227615</v>
      </c>
      <c r="J966" s="35">
        <v>300.39391291343816</v>
      </c>
      <c r="K966" s="35">
        <v>338.89065944888557</v>
      </c>
      <c r="L966" s="35">
        <v>383.75517646996542</v>
      </c>
    </row>
    <row r="967" spans="1:12">
      <c r="A967" s="35">
        <v>235.40396997321665</v>
      </c>
      <c r="B967" s="35">
        <v>271.24201005306355</v>
      </c>
      <c r="C967" s="35">
        <v>241.46164844980288</v>
      </c>
      <c r="D967" s="35">
        <v>251.25858247529638</v>
      </c>
      <c r="E967" s="35">
        <v>290.75978552825347</v>
      </c>
      <c r="F967" s="35">
        <v>255.38767220758101</v>
      </c>
      <c r="G967" s="35">
        <v>279.83547816258795</v>
      </c>
      <c r="H967" s="35">
        <v>266.23244909605984</v>
      </c>
      <c r="I967" s="35">
        <v>295.84724283598547</v>
      </c>
      <c r="J967" s="35">
        <v>324.89556288208053</v>
      </c>
      <c r="K967" s="35">
        <v>346.71948497540524</v>
      </c>
      <c r="L967" s="35">
        <v>391.05811215236724</v>
      </c>
    </row>
    <row r="968" spans="1:12">
      <c r="A968" s="35">
        <v>238.714515025949</v>
      </c>
      <c r="B968" s="35">
        <v>265.53740753331886</v>
      </c>
      <c r="C968" s="35">
        <v>232.68228268541375</v>
      </c>
      <c r="D968" s="35">
        <v>238.90810138629271</v>
      </c>
      <c r="E968" s="35">
        <v>293.19359064570887</v>
      </c>
      <c r="F968" s="35">
        <v>264.24241324013866</v>
      </c>
      <c r="G968" s="35">
        <v>267.2001875190474</v>
      </c>
      <c r="H968" s="35">
        <v>284.55076080310346</v>
      </c>
      <c r="I968" s="35">
        <v>310.40839899730889</v>
      </c>
      <c r="J968" s="35">
        <v>309.57753009465438</v>
      </c>
      <c r="K968" s="35">
        <v>345.02146604116257</v>
      </c>
      <c r="L968" s="35">
        <v>376.18514786994905</v>
      </c>
    </row>
    <row r="969" spans="1:12">
      <c r="A969" s="35">
        <v>250.34077742890526</v>
      </c>
      <c r="B969" s="35">
        <v>275.53446663979497</v>
      </c>
      <c r="C969" s="35">
        <v>255.31866791084209</v>
      </c>
      <c r="D969" s="35">
        <v>247.23229369586568</v>
      </c>
      <c r="E969" s="35">
        <v>295.18860807885267</v>
      </c>
      <c r="F969" s="35">
        <v>257.0363438649793</v>
      </c>
      <c r="G969" s="35">
        <v>280.44579268892039</v>
      </c>
      <c r="H969" s="35">
        <v>286.16402532133787</v>
      </c>
      <c r="I969" s="35">
        <v>298.62649564163496</v>
      </c>
      <c r="J969" s="35">
        <v>325.85909531797034</v>
      </c>
      <c r="K969" s="35">
        <v>337.04258483795644</v>
      </c>
      <c r="L969" s="35">
        <v>397.40496884110041</v>
      </c>
    </row>
    <row r="970" spans="1:12">
      <c r="A970" s="35">
        <v>234.07638406444869</v>
      </c>
      <c r="B970" s="35">
        <v>261.18008506148226</v>
      </c>
      <c r="C970" s="35">
        <v>232.30526476853726</v>
      </c>
      <c r="D970" s="35">
        <v>244.5409331520458</v>
      </c>
      <c r="E970" s="35">
        <v>272.31318504710606</v>
      </c>
      <c r="F970" s="35">
        <v>238.27317810020446</v>
      </c>
      <c r="G970" s="35">
        <v>250.12529046527996</v>
      </c>
      <c r="H970" s="35">
        <v>235.26358050804544</v>
      </c>
      <c r="I970" s="35">
        <v>279.26330375734557</v>
      </c>
      <c r="J970" s="35">
        <v>272.40883305422437</v>
      </c>
      <c r="K970" s="35">
        <v>292.7238840160532</v>
      </c>
      <c r="L970" s="35">
        <v>325.48747703309277</v>
      </c>
    </row>
    <row r="971" spans="1:12">
      <c r="A971" s="35">
        <v>225.67537846975642</v>
      </c>
      <c r="B971" s="35">
        <v>260.63996437831094</v>
      </c>
      <c r="C971" s="35">
        <v>245.90894808708475</v>
      </c>
      <c r="D971" s="35">
        <v>240.51191971906317</v>
      </c>
      <c r="E971" s="35">
        <v>258.26697349049317</v>
      </c>
      <c r="F971" s="35">
        <v>238.44907084108274</v>
      </c>
      <c r="G971" s="35">
        <v>229.95396525230765</v>
      </c>
      <c r="H971" s="35">
        <v>250.56771590115343</v>
      </c>
      <c r="I971" s="35">
        <v>271.19934551225384</v>
      </c>
      <c r="J971" s="35">
        <v>284.71302776141818</v>
      </c>
      <c r="K971" s="35">
        <v>287.75047789848907</v>
      </c>
      <c r="L971" s="35">
        <v>345.75066181742227</v>
      </c>
    </row>
    <row r="972" spans="1:12">
      <c r="A972" s="35">
        <v>243.29733827598704</v>
      </c>
      <c r="B972" s="35">
        <v>245.49914392024829</v>
      </c>
      <c r="C972" s="35">
        <v>233.39722233132392</v>
      </c>
      <c r="D972" s="35">
        <v>231.27394387576615</v>
      </c>
      <c r="E972" s="35">
        <v>261.22613605337943</v>
      </c>
      <c r="F972" s="35">
        <v>239.24184512235919</v>
      </c>
      <c r="G972" s="35">
        <v>243.61741187041358</v>
      </c>
      <c r="H972" s="35">
        <v>241.56699263881919</v>
      </c>
      <c r="I972" s="35">
        <v>258.63121405324426</v>
      </c>
      <c r="J972" s="35">
        <v>266.53367370595765</v>
      </c>
      <c r="K972" s="35">
        <v>282.87303473010763</v>
      </c>
      <c r="L972" s="35">
        <v>316.97144737070153</v>
      </c>
    </row>
    <row r="973" spans="1:12">
      <c r="A973" s="35">
        <v>236.45309734910524</v>
      </c>
      <c r="B973" s="35">
        <v>264.34261600886066</v>
      </c>
      <c r="C973" s="35">
        <v>232.89548049588927</v>
      </c>
      <c r="D973" s="35">
        <v>233.48416228334696</v>
      </c>
      <c r="E973" s="35">
        <v>266.52920686905014</v>
      </c>
      <c r="F973" s="35">
        <v>239.53832180365441</v>
      </c>
      <c r="G973" s="35">
        <v>240.44638066379065</v>
      </c>
      <c r="H973" s="35">
        <v>242.76593797579713</v>
      </c>
      <c r="I973" s="35">
        <v>269.5229313279836</v>
      </c>
      <c r="J973" s="35">
        <v>266.5889875518065</v>
      </c>
      <c r="K973" s="35">
        <v>276.88583399113548</v>
      </c>
      <c r="L973" s="35">
        <v>299.52815505698612</v>
      </c>
    </row>
    <row r="974" spans="1:12">
      <c r="A974" s="35">
        <v>251.41727773004817</v>
      </c>
      <c r="B974" s="35">
        <v>266.25614783541829</v>
      </c>
      <c r="C974" s="35">
        <v>238.17416881055436</v>
      </c>
      <c r="D974" s="35">
        <v>235.06081570681653</v>
      </c>
      <c r="E974" s="35">
        <v>275.9645192541571</v>
      </c>
      <c r="F974" s="35">
        <v>242.40119119658985</v>
      </c>
      <c r="G974" s="35">
        <v>235.99876586692918</v>
      </c>
      <c r="H974" s="35">
        <v>254.26392261836813</v>
      </c>
      <c r="I974" s="35">
        <v>287.47415135955015</v>
      </c>
      <c r="J974" s="35">
        <v>305.00710946141646</v>
      </c>
      <c r="K974" s="35">
        <v>298.03362576342022</v>
      </c>
      <c r="L974" s="35">
        <v>339.92071985962053</v>
      </c>
    </row>
    <row r="975" spans="1:12">
      <c r="A975" s="35">
        <v>236.99674176060873</v>
      </c>
      <c r="B975" s="35">
        <v>252.46744240705084</v>
      </c>
      <c r="C975" s="35">
        <v>251.69006562320683</v>
      </c>
      <c r="D975" s="35">
        <v>242.85228632809265</v>
      </c>
      <c r="E975" s="35">
        <v>307.07887997387951</v>
      </c>
      <c r="F975" s="35">
        <v>254.23712013644189</v>
      </c>
      <c r="G975" s="35">
        <v>262.53581354876655</v>
      </c>
      <c r="H975" s="35">
        <v>272.60009558666371</v>
      </c>
      <c r="I975" s="35">
        <v>296.88849566938956</v>
      </c>
      <c r="J975" s="35">
        <v>311.33604506889378</v>
      </c>
      <c r="K975" s="35">
        <v>318.46096321681193</v>
      </c>
      <c r="L975" s="35">
        <v>374.9108240291024</v>
      </c>
    </row>
    <row r="976" spans="1:12">
      <c r="A976" s="35">
        <v>256.94145436438407</v>
      </c>
      <c r="B976" s="35">
        <v>273.41440064618342</v>
      </c>
      <c r="C976" s="35">
        <v>249.8635468807509</v>
      </c>
      <c r="D976" s="35">
        <v>238.78667842350262</v>
      </c>
      <c r="E976" s="35">
        <v>291.62743456206363</v>
      </c>
      <c r="F976" s="35">
        <v>260.82906503240127</v>
      </c>
      <c r="G976" s="35">
        <v>268.20110538842357</v>
      </c>
      <c r="H976" s="35">
        <v>259.81066092406144</v>
      </c>
      <c r="I976" s="35">
        <v>284.43221837984044</v>
      </c>
      <c r="J976" s="35">
        <v>297.92252918408815</v>
      </c>
      <c r="K976" s="35">
        <v>300.55468584910955</v>
      </c>
      <c r="L976" s="35">
        <v>354.5702913637229</v>
      </c>
    </row>
    <row r="977" spans="1:12">
      <c r="A977" s="35">
        <v>236.61900894868523</v>
      </c>
      <c r="B977" s="35">
        <v>276.48127485955382</v>
      </c>
      <c r="C977" s="35">
        <v>240.97895456068611</v>
      </c>
      <c r="D977" s="35">
        <v>239.35622291862921</v>
      </c>
      <c r="E977" s="35">
        <v>275.94567123903289</v>
      </c>
      <c r="F977" s="35">
        <v>234.41239933207729</v>
      </c>
      <c r="G977" s="35">
        <v>249.56709836810126</v>
      </c>
      <c r="H977" s="35">
        <v>247.61880060005282</v>
      </c>
      <c r="I977" s="35">
        <v>261.90512909939196</v>
      </c>
      <c r="J977" s="35">
        <v>287.72459739430167</v>
      </c>
      <c r="K977" s="35">
        <v>290.76091632552431</v>
      </c>
      <c r="L977" s="35">
        <v>324.35221510921991</v>
      </c>
    </row>
    <row r="978" spans="1:12">
      <c r="A978" s="35">
        <v>231.8546340808962</v>
      </c>
      <c r="B978" s="35">
        <v>267.96580685654408</v>
      </c>
      <c r="C978" s="35">
        <v>260.2590029853618</v>
      </c>
      <c r="D978" s="35">
        <v>236.62992665250081</v>
      </c>
      <c r="E978" s="35">
        <v>276.09976714320186</v>
      </c>
      <c r="F978" s="35">
        <v>232.3606637040173</v>
      </c>
      <c r="G978" s="35">
        <v>248.91525290902268</v>
      </c>
      <c r="H978" s="35">
        <v>241.61043721441811</v>
      </c>
      <c r="I978" s="35">
        <v>270.49392682756053</v>
      </c>
      <c r="J978" s="35">
        <v>278.55932193450343</v>
      </c>
      <c r="K978" s="35">
        <v>276.08658689779844</v>
      </c>
      <c r="L978" s="35">
        <v>340.14918653696196</v>
      </c>
    </row>
    <row r="979" spans="1:12">
      <c r="A979" s="35">
        <v>248.37407682244549</v>
      </c>
      <c r="B979" s="35">
        <v>259.56097692456734</v>
      </c>
      <c r="C979" s="35">
        <v>236.48073640901916</v>
      </c>
      <c r="D979" s="35">
        <v>234.23114259535183</v>
      </c>
      <c r="E979" s="35">
        <v>282.06306920281185</v>
      </c>
      <c r="F979" s="35">
        <v>251.76642554677733</v>
      </c>
      <c r="G979" s="35">
        <v>263.09067848632299</v>
      </c>
      <c r="H979" s="35">
        <v>264.12237115017376</v>
      </c>
      <c r="I979" s="35">
        <v>282.60321605073034</v>
      </c>
      <c r="J979" s="35">
        <v>298.09469510384275</v>
      </c>
      <c r="K979" s="35">
        <v>320.12999452872253</v>
      </c>
      <c r="L979" s="35">
        <v>350.52280136954977</v>
      </c>
    </row>
    <row r="980" spans="1:12">
      <c r="A980" s="35">
        <v>242.99473690214376</v>
      </c>
      <c r="B980" s="35">
        <v>250.4936690858386</v>
      </c>
      <c r="C980" s="35">
        <v>234.60818277088751</v>
      </c>
      <c r="D980" s="35">
        <v>232.50430495401577</v>
      </c>
      <c r="E980" s="35">
        <v>267.31194188085573</v>
      </c>
      <c r="F980" s="35">
        <v>220.92558226454091</v>
      </c>
      <c r="G980" s="35">
        <v>240.01328240868312</v>
      </c>
      <c r="H980" s="35">
        <v>224.44172191146393</v>
      </c>
      <c r="I980" s="35">
        <v>257.45635230000454</v>
      </c>
      <c r="J980" s="35">
        <v>253.19009902562004</v>
      </c>
      <c r="K980" s="35">
        <v>275.93558402565924</v>
      </c>
      <c r="L980" s="35">
        <v>310.77386210378506</v>
      </c>
    </row>
    <row r="981" spans="1:12">
      <c r="A981" s="35">
        <v>241.10493610577308</v>
      </c>
      <c r="B981" s="35">
        <v>259.43489372152754</v>
      </c>
      <c r="C981" s="35">
        <v>217.04267313363067</v>
      </c>
      <c r="D981" s="35">
        <v>230.05738074254424</v>
      </c>
      <c r="E981" s="35">
        <v>266.12858830527421</v>
      </c>
      <c r="F981" s="35">
        <v>235.76394176843394</v>
      </c>
      <c r="G981" s="35">
        <v>247.74156450659615</v>
      </c>
      <c r="H981" s="35">
        <v>270.09916251882726</v>
      </c>
      <c r="I981" s="35">
        <v>272.01878545351695</v>
      </c>
      <c r="J981" s="35">
        <v>282.61874759991815</v>
      </c>
      <c r="K981" s="35">
        <v>291.03385121607567</v>
      </c>
      <c r="L981" s="35">
        <v>360.75571479290596</v>
      </c>
    </row>
    <row r="982" spans="1:12">
      <c r="A982" s="35">
        <v>239.6410568147854</v>
      </c>
      <c r="B982" s="35">
        <v>274.94601713738092</v>
      </c>
      <c r="C982" s="35">
        <v>251.62067764386956</v>
      </c>
      <c r="D982" s="35">
        <v>239.8256668565366</v>
      </c>
      <c r="E982" s="35">
        <v>286.89052201956821</v>
      </c>
      <c r="F982" s="35">
        <v>242.76441160884008</v>
      </c>
      <c r="G982" s="35">
        <v>257.80075956334576</v>
      </c>
      <c r="H982" s="35">
        <v>254.69774735393338</v>
      </c>
      <c r="I982" s="35">
        <v>277.86024347366566</v>
      </c>
      <c r="J982" s="35">
        <v>303.56365745439115</v>
      </c>
      <c r="K982" s="35">
        <v>300.1448996806464</v>
      </c>
      <c r="L982" s="35">
        <v>355.74316119269884</v>
      </c>
    </row>
    <row r="983" spans="1:12">
      <c r="A983" s="35">
        <v>244.5998246280007</v>
      </c>
      <c r="B983" s="35">
        <v>272.48053286717419</v>
      </c>
      <c r="C983" s="35">
        <v>232.35659829691193</v>
      </c>
      <c r="D983" s="35">
        <v>254.39803903570501</v>
      </c>
      <c r="E983" s="35">
        <v>295.64022830006286</v>
      </c>
      <c r="F983" s="35">
        <v>249.63487492546952</v>
      </c>
      <c r="G983" s="35">
        <v>267.62951139252772</v>
      </c>
      <c r="H983" s="35">
        <v>264.22427140914516</v>
      </c>
      <c r="I983" s="35">
        <v>287.30067197632872</v>
      </c>
      <c r="J983" s="35">
        <v>317.83063660557065</v>
      </c>
      <c r="K983" s="35">
        <v>324.70747902407265</v>
      </c>
      <c r="L983" s="35">
        <v>384.97276341457541</v>
      </c>
    </row>
    <row r="984" spans="1:12">
      <c r="A984" s="35">
        <v>237.52691333783673</v>
      </c>
      <c r="B984" s="35">
        <v>265.40175610446079</v>
      </c>
      <c r="C984" s="35">
        <v>231.69479537560363</v>
      </c>
      <c r="D984" s="35">
        <v>241.99845646405873</v>
      </c>
      <c r="E984" s="35">
        <v>269.60107357791441</v>
      </c>
      <c r="F984" s="35">
        <v>244.79376038909089</v>
      </c>
      <c r="G984" s="35">
        <v>260.23019016981112</v>
      </c>
      <c r="H984" s="35">
        <v>260.28519267389169</v>
      </c>
      <c r="I984" s="35">
        <v>275.75608365457254</v>
      </c>
      <c r="J984" s="35">
        <v>291.39483765570935</v>
      </c>
      <c r="K984" s="35">
        <v>304.67903506112839</v>
      </c>
      <c r="L984" s="35">
        <v>349.56490880074097</v>
      </c>
    </row>
    <row r="985" spans="1:12">
      <c r="A985" s="35">
        <v>234.40834452006075</v>
      </c>
      <c r="B985" s="35">
        <v>254.71401348515471</v>
      </c>
      <c r="C985" s="35">
        <v>250.55696891264682</v>
      </c>
      <c r="D985" s="35">
        <v>248.36156975090512</v>
      </c>
      <c r="E985" s="35">
        <v>271.28390993272353</v>
      </c>
      <c r="F985" s="35">
        <v>257.38841012648538</v>
      </c>
      <c r="G985" s="35">
        <v>262.1713503694881</v>
      </c>
      <c r="H985" s="35">
        <v>279.16648013669743</v>
      </c>
      <c r="I985" s="35">
        <v>305.89481124019636</v>
      </c>
      <c r="J985" s="35">
        <v>326.6764831849913</v>
      </c>
      <c r="K985" s="35">
        <v>326.5613869906436</v>
      </c>
      <c r="L985" s="35">
        <v>387.92260965484428</v>
      </c>
    </row>
    <row r="986" spans="1:12">
      <c r="A986" s="35">
        <v>249.04263862039741</v>
      </c>
      <c r="B986" s="35">
        <v>294.14542251415816</v>
      </c>
      <c r="C986" s="35">
        <v>239.40211786414426</v>
      </c>
      <c r="D986" s="35">
        <v>250.76401182309701</v>
      </c>
      <c r="E986" s="35">
        <v>294.46479311719469</v>
      </c>
      <c r="F986" s="35">
        <v>250.42911547277635</v>
      </c>
      <c r="G986" s="35">
        <v>279.34942228526944</v>
      </c>
      <c r="H986" s="35">
        <v>267.98758944241428</v>
      </c>
      <c r="I986" s="35">
        <v>310.19955332343221</v>
      </c>
      <c r="J986" s="35">
        <v>323.6455542978789</v>
      </c>
      <c r="K986" s="35">
        <v>345.3837895783135</v>
      </c>
      <c r="L986" s="35">
        <v>413.21465810461336</v>
      </c>
    </row>
    <row r="987" spans="1:12">
      <c r="A987" s="35">
        <v>241.92413016577365</v>
      </c>
      <c r="B987" s="35">
        <v>257.93621288065634</v>
      </c>
      <c r="C987" s="35">
        <v>228.93229922818256</v>
      </c>
      <c r="D987" s="35">
        <v>242.07146251353728</v>
      </c>
      <c r="E987" s="35">
        <v>261.41814442936726</v>
      </c>
      <c r="F987" s="35">
        <v>233.91992366390775</v>
      </c>
      <c r="G987" s="35">
        <v>229.17522149754726</v>
      </c>
      <c r="H987" s="35">
        <v>240.95209202627598</v>
      </c>
      <c r="I987" s="35">
        <v>275.55789577364578</v>
      </c>
      <c r="J987" s="35">
        <v>276.80031272344473</v>
      </c>
      <c r="K987" s="35">
        <v>302.94358909761439</v>
      </c>
      <c r="L987" s="35">
        <v>342.22317883162373</v>
      </c>
    </row>
    <row r="988" spans="1:12">
      <c r="A988" s="35">
        <v>247.06351976977859</v>
      </c>
      <c r="B988" s="35">
        <v>252.17928056065165</v>
      </c>
      <c r="C988" s="35">
        <v>252.47872621822441</v>
      </c>
      <c r="D988" s="35">
        <v>255.4829782445446</v>
      </c>
      <c r="E988" s="35">
        <v>295.76981876268337</v>
      </c>
      <c r="F988" s="35">
        <v>243.1575756394941</v>
      </c>
      <c r="G988" s="35">
        <v>248.43662438777739</v>
      </c>
      <c r="H988" s="35">
        <v>263.43520244651569</v>
      </c>
      <c r="I988" s="35">
        <v>310.59295680464692</v>
      </c>
      <c r="J988" s="35">
        <v>310.54915069366706</v>
      </c>
      <c r="K988" s="35">
        <v>325.28897790409104</v>
      </c>
      <c r="L988" s="35">
        <v>368.33298341096906</v>
      </c>
    </row>
    <row r="989" spans="1:12">
      <c r="A989" s="35">
        <v>238.50600945595059</v>
      </c>
      <c r="B989" s="35">
        <v>267.09971335087147</v>
      </c>
      <c r="C989" s="35">
        <v>248.90410397272964</v>
      </c>
      <c r="D989" s="35">
        <v>251.55307759134226</v>
      </c>
      <c r="E989" s="35">
        <v>285.81018292706335</v>
      </c>
      <c r="F989" s="35">
        <v>255.04697559470875</v>
      </c>
      <c r="G989" s="35">
        <v>254.76338112029367</v>
      </c>
      <c r="H989" s="35">
        <v>271.07497822238025</v>
      </c>
      <c r="I989" s="35">
        <v>281.61282972863512</v>
      </c>
      <c r="J989" s="35">
        <v>315.36464811246952</v>
      </c>
      <c r="K989" s="35">
        <v>330.14906462040358</v>
      </c>
      <c r="L989" s="35">
        <v>374.0487083456901</v>
      </c>
    </row>
    <row r="990" spans="1:12">
      <c r="A990" s="35">
        <v>250.35045438511267</v>
      </c>
      <c r="B990" s="35">
        <v>263.49889995495096</v>
      </c>
      <c r="C990" s="35">
        <v>256.34887496317452</v>
      </c>
      <c r="D990" s="35">
        <v>243.47639148740868</v>
      </c>
      <c r="E990" s="35">
        <v>270.47252562159304</v>
      </c>
      <c r="F990" s="35">
        <v>260.03307519316269</v>
      </c>
      <c r="G990" s="35">
        <v>250.33275598159139</v>
      </c>
      <c r="H990" s="35">
        <v>260.8720321790446</v>
      </c>
      <c r="I990" s="35">
        <v>278.04633041081701</v>
      </c>
      <c r="J990" s="35">
        <v>294.46515951460316</v>
      </c>
      <c r="K990" s="35">
        <v>294.16302576557337</v>
      </c>
      <c r="L990" s="35">
        <v>354.4820763870589</v>
      </c>
    </row>
    <row r="991" spans="1:12">
      <c r="A991" s="35">
        <v>241.76084607894126</v>
      </c>
      <c r="B991" s="35">
        <v>257.63862547202672</v>
      </c>
      <c r="C991" s="35">
        <v>236.78962548775525</v>
      </c>
      <c r="D991" s="35">
        <v>235.75692901139061</v>
      </c>
      <c r="E991" s="35">
        <v>274.83350670150514</v>
      </c>
      <c r="F991" s="35">
        <v>255.01590870497739</v>
      </c>
      <c r="G991" s="35">
        <v>250.65609594110904</v>
      </c>
      <c r="H991" s="35">
        <v>251.16686296751129</v>
      </c>
      <c r="I991" s="35">
        <v>259.7400104358091</v>
      </c>
      <c r="J991" s="35">
        <v>268.77808221172654</v>
      </c>
      <c r="K991" s="35">
        <v>295.75362739067316</v>
      </c>
      <c r="L991" s="35">
        <v>349.19285117804003</v>
      </c>
    </row>
    <row r="992" spans="1:12">
      <c r="A992" s="35">
        <v>252.85572566345385</v>
      </c>
      <c r="B992" s="35">
        <v>263.8178283989908</v>
      </c>
      <c r="C992" s="35">
        <v>252.09059468934561</v>
      </c>
      <c r="D992" s="35">
        <v>254.65976162932691</v>
      </c>
      <c r="E992" s="35">
        <v>293.11216310743202</v>
      </c>
      <c r="F992" s="35">
        <v>260.75718886722251</v>
      </c>
      <c r="G992" s="35">
        <v>274.92887563153289</v>
      </c>
      <c r="H992" s="35">
        <v>271.86841489128346</v>
      </c>
      <c r="I992" s="35">
        <v>298.44873216817103</v>
      </c>
      <c r="J992" s="35">
        <v>326.62926838389433</v>
      </c>
      <c r="K992" s="35">
        <v>324.82347609586276</v>
      </c>
      <c r="L992" s="35">
        <v>391.60350388118945</v>
      </c>
    </row>
    <row r="993" spans="1:12">
      <c r="A993" s="35">
        <v>237.09678877362091</v>
      </c>
      <c r="B993" s="35">
        <v>258.93676677467187</v>
      </c>
      <c r="C993" s="35">
        <v>230.28778091250737</v>
      </c>
      <c r="D993" s="35">
        <v>242.81132941184882</v>
      </c>
      <c r="E993" s="35">
        <v>292.81547903639034</v>
      </c>
      <c r="F993" s="35">
        <v>243.50980945931633</v>
      </c>
      <c r="G993" s="35">
        <v>271.741566305623</v>
      </c>
      <c r="H993" s="35">
        <v>270.4001852763339</v>
      </c>
      <c r="I993" s="35">
        <v>294.28550496029027</v>
      </c>
      <c r="J993" s="35">
        <v>308.71556810864126</v>
      </c>
      <c r="K993" s="35">
        <v>300.04490727739119</v>
      </c>
      <c r="L993" s="35">
        <v>376.23476747883467</v>
      </c>
    </row>
    <row r="994" spans="1:12">
      <c r="A994" s="35">
        <v>241.44983798333811</v>
      </c>
      <c r="B994" s="35">
        <v>253.2859113954803</v>
      </c>
      <c r="C994" s="35">
        <v>256.07282206036251</v>
      </c>
      <c r="D994" s="35">
        <v>267.72945058436005</v>
      </c>
      <c r="E994" s="35">
        <v>298.5238246167433</v>
      </c>
      <c r="F994" s="35">
        <v>272.16875600369877</v>
      </c>
      <c r="G994" s="35">
        <v>274.67851516946416</v>
      </c>
      <c r="H994" s="35">
        <v>282.18833840477777</v>
      </c>
      <c r="I994" s="35">
        <v>326.53855847290038</v>
      </c>
      <c r="J994" s="35">
        <v>332.60077002979517</v>
      </c>
      <c r="K994" s="35">
        <v>358.63319160603845</v>
      </c>
      <c r="L994" s="35">
        <v>429.53192673236521</v>
      </c>
    </row>
    <row r="995" spans="1:12">
      <c r="A995" s="35">
        <v>255.43348588273753</v>
      </c>
      <c r="B995" s="35">
        <v>264.72970167961631</v>
      </c>
      <c r="C995" s="35">
        <v>239.28810717634494</v>
      </c>
      <c r="D995" s="35">
        <v>235.82278921224392</v>
      </c>
      <c r="E995" s="35">
        <v>286.91325379454997</v>
      </c>
      <c r="F995" s="35">
        <v>247.32958104636396</v>
      </c>
      <c r="G995" s="35">
        <v>253.96950098624632</v>
      </c>
      <c r="H995" s="35">
        <v>245.21561821777453</v>
      </c>
      <c r="I995" s="35">
        <v>272.66972750538673</v>
      </c>
      <c r="J995" s="35">
        <v>285.93127285813637</v>
      </c>
      <c r="K995" s="35">
        <v>284.84342790426246</v>
      </c>
      <c r="L995" s="35">
        <v>329.06373718551657</v>
      </c>
    </row>
    <row r="996" spans="1:12">
      <c r="A996" s="35">
        <v>240.20311659962152</v>
      </c>
      <c r="B996" s="35">
        <v>276.53457112524791</v>
      </c>
      <c r="C996" s="35">
        <v>245.05294438369671</v>
      </c>
      <c r="D996" s="35">
        <v>251.27538509008593</v>
      </c>
      <c r="E996" s="35">
        <v>284.15733719336907</v>
      </c>
      <c r="F996" s="35">
        <v>251.75267333241609</v>
      </c>
      <c r="G996" s="35">
        <v>260.65998131622035</v>
      </c>
      <c r="H996" s="35">
        <v>269.86150495475641</v>
      </c>
      <c r="I996" s="35">
        <v>285.66708239190814</v>
      </c>
      <c r="J996" s="35">
        <v>313.03290184637791</v>
      </c>
      <c r="K996" s="35">
        <v>337.3181998231164</v>
      </c>
      <c r="L996" s="35">
        <v>411.16110789308254</v>
      </c>
    </row>
    <row r="997" spans="1:12">
      <c r="A997" s="35">
        <v>257.03129870707733</v>
      </c>
      <c r="B997" s="35">
        <v>271.7002126893222</v>
      </c>
      <c r="C997" s="35">
        <v>260.37969354227556</v>
      </c>
      <c r="D997" s="35">
        <v>272.84622596881786</v>
      </c>
      <c r="E997" s="35">
        <v>290.08427357578279</v>
      </c>
      <c r="F997" s="35">
        <v>267.58170229420205</v>
      </c>
      <c r="G997" s="35">
        <v>288.87441501312571</v>
      </c>
      <c r="H997" s="35">
        <v>288.50997482310657</v>
      </c>
      <c r="I997" s="35">
        <v>316.90022185447901</v>
      </c>
      <c r="J997" s="35">
        <v>322.01245288364669</v>
      </c>
      <c r="K997" s="35">
        <v>339.61328675104596</v>
      </c>
      <c r="L997" s="35">
        <v>395.52461149569132</v>
      </c>
    </row>
    <row r="998" spans="1:12">
      <c r="A998" s="35">
        <v>241.70878840062471</v>
      </c>
      <c r="B998" s="35">
        <v>271.34183376949414</v>
      </c>
      <c r="C998" s="35">
        <v>251.55836654794913</v>
      </c>
      <c r="D998" s="35">
        <v>242.66623188937078</v>
      </c>
      <c r="E998" s="35">
        <v>280.64972389287129</v>
      </c>
      <c r="F998" s="35">
        <v>248.42474747907229</v>
      </c>
      <c r="G998" s="35">
        <v>271.18820739604155</v>
      </c>
      <c r="H998" s="35">
        <v>271.98769605204592</v>
      </c>
      <c r="I998" s="35">
        <v>290.32255712242494</v>
      </c>
      <c r="J998" s="35">
        <v>310.48653667078128</v>
      </c>
      <c r="K998" s="35">
        <v>315.91769321758375</v>
      </c>
      <c r="L998" s="35">
        <v>381.70570305442476</v>
      </c>
    </row>
    <row r="999" spans="1:12">
      <c r="A999" s="35">
        <v>256.29783504249508</v>
      </c>
      <c r="B999" s="35">
        <v>246.80797476255796</v>
      </c>
      <c r="C999" s="35">
        <v>254.64675778895116</v>
      </c>
      <c r="D999" s="35">
        <v>240.41387672863638</v>
      </c>
      <c r="E999" s="35">
        <v>291.28307791977159</v>
      </c>
      <c r="F999" s="35">
        <v>276.87968220298205</v>
      </c>
      <c r="G999" s="35">
        <v>279.61964403487627</v>
      </c>
      <c r="H999" s="35">
        <v>282.25916204112423</v>
      </c>
      <c r="I999" s="35">
        <v>302.3243504763463</v>
      </c>
      <c r="J999" s="35">
        <v>326.24021229805959</v>
      </c>
      <c r="K999" s="35">
        <v>367.03718857745588</v>
      </c>
      <c r="L999" s="35">
        <v>415.26268875116381</v>
      </c>
    </row>
    <row r="1000" spans="1:12">
      <c r="A1000" s="35">
        <v>251.1316012544103</v>
      </c>
      <c r="B1000" s="35">
        <v>260.25260776147485</v>
      </c>
      <c r="C1000" s="35">
        <v>245.57107094670084</v>
      </c>
      <c r="D1000" s="35">
        <v>237.50325644012378</v>
      </c>
      <c r="E1000" s="35">
        <v>264.1780108723396</v>
      </c>
      <c r="F1000" s="35">
        <v>234.41836646675222</v>
      </c>
      <c r="G1000" s="35">
        <v>235.31652040668132</v>
      </c>
      <c r="H1000" s="35">
        <v>238.51346599442525</v>
      </c>
      <c r="I1000" s="35">
        <v>248.68114095881251</v>
      </c>
      <c r="J1000" s="35">
        <v>289.1863318964929</v>
      </c>
      <c r="K1000" s="35">
        <v>266.47501396909445</v>
      </c>
      <c r="L1000" s="35">
        <v>324.75957171933931</v>
      </c>
    </row>
    <row r="1001" spans="1:12">
      <c r="A1001" s="35">
        <v>251.98235589480424</v>
      </c>
      <c r="B1001" s="35">
        <v>270.71568682812989</v>
      </c>
      <c r="C1001" s="35">
        <v>250.44263672534044</v>
      </c>
      <c r="D1001" s="35">
        <v>238.79805591486777</v>
      </c>
      <c r="E1001" s="35">
        <v>286.68079817393885</v>
      </c>
      <c r="F1001" s="35">
        <v>261.37182160492387</v>
      </c>
      <c r="G1001" s="35">
        <v>260.2236226538937</v>
      </c>
      <c r="H1001" s="35">
        <v>284.9250867680683</v>
      </c>
      <c r="I1001" s="35">
        <v>284.40503967081463</v>
      </c>
      <c r="J1001" s="35">
        <v>303.15186997735174</v>
      </c>
      <c r="K1001" s="35">
        <v>325.797532293855</v>
      </c>
      <c r="L1001" s="35">
        <v>377.62834524335722</v>
      </c>
    </row>
    <row r="1002" spans="1:12">
      <c r="A1002" s="35">
        <v>255.05465162110698</v>
      </c>
      <c r="B1002" s="35">
        <v>254.51544226893762</v>
      </c>
      <c r="C1002" s="35">
        <v>239.25963511933818</v>
      </c>
      <c r="D1002" s="35">
        <v>245.28174026752356</v>
      </c>
      <c r="E1002" s="35">
        <v>264.81948349115584</v>
      </c>
      <c r="F1002" s="35">
        <v>223.41563587226707</v>
      </c>
      <c r="G1002" s="35">
        <v>244.32806430793897</v>
      </c>
      <c r="H1002" s="35">
        <v>242.93077063191234</v>
      </c>
      <c r="I1002" s="35">
        <v>282.24796732363114</v>
      </c>
      <c r="J1002" s="35">
        <v>278.01174579774789</v>
      </c>
      <c r="K1002" s="35">
        <v>279.38948614684148</v>
      </c>
      <c r="L1002" s="35">
        <v>330.48065642547033</v>
      </c>
    </row>
    <row r="1003" spans="1:12">
      <c r="A1003" s="35">
        <v>250.01946927394954</v>
      </c>
      <c r="B1003" s="35">
        <v>278.93400331220744</v>
      </c>
      <c r="C1003" s="35">
        <v>214.96969838102282</v>
      </c>
      <c r="D1003" s="35">
        <v>232.30414575474907</v>
      </c>
      <c r="E1003" s="35">
        <v>267.29563742598901</v>
      </c>
      <c r="F1003" s="35">
        <v>224.60468733082527</v>
      </c>
      <c r="G1003" s="35">
        <v>236.53543332567642</v>
      </c>
      <c r="H1003" s="35">
        <v>255.50015243720588</v>
      </c>
      <c r="I1003" s="35">
        <v>276.74683883703688</v>
      </c>
      <c r="J1003" s="35">
        <v>290.09772662843272</v>
      </c>
      <c r="K1003" s="35">
        <v>292.61297273986912</v>
      </c>
      <c r="L1003" s="35">
        <v>322.05543856557176</v>
      </c>
    </row>
    <row r="1004" spans="1:12">
      <c r="A1004" s="35">
        <v>230.90930504216269</v>
      </c>
      <c r="B1004" s="35">
        <v>263.5440047669332</v>
      </c>
      <c r="C1004" s="35">
        <v>239.72686008701601</v>
      </c>
      <c r="D1004" s="35">
        <v>244.82902759658134</v>
      </c>
      <c r="E1004" s="35">
        <v>273.2074418329014</v>
      </c>
      <c r="F1004" s="35">
        <v>231.840955576798</v>
      </c>
      <c r="G1004" s="35">
        <v>257.76528766417056</v>
      </c>
      <c r="H1004" s="35">
        <v>261.05621633363012</v>
      </c>
      <c r="I1004" s="35">
        <v>296.39512338964323</v>
      </c>
      <c r="J1004" s="35">
        <v>300.0398938521281</v>
      </c>
      <c r="K1004" s="35">
        <v>314.07401257256657</v>
      </c>
      <c r="L1004" s="35">
        <v>384.10169119768699</v>
      </c>
    </row>
    <row r="1005" spans="1:12">
      <c r="A1005" s="35">
        <v>251.68009526828931</v>
      </c>
      <c r="B1005" s="35">
        <v>246.49085846945025</v>
      </c>
      <c r="C1005" s="35">
        <v>234.16578394803358</v>
      </c>
      <c r="D1005" s="35">
        <v>216.38392041278763</v>
      </c>
      <c r="E1005" s="35">
        <v>258.22502840322397</v>
      </c>
      <c r="F1005" s="35">
        <v>225.89727622537572</v>
      </c>
      <c r="G1005" s="35">
        <v>218.54116386226968</v>
      </c>
      <c r="H1005" s="35">
        <v>246.70386182337128</v>
      </c>
      <c r="I1005" s="35">
        <v>262.68038167680868</v>
      </c>
      <c r="J1005" s="35">
        <v>261.00343980183118</v>
      </c>
      <c r="K1005" s="35">
        <v>282.98623161758286</v>
      </c>
      <c r="L1005" s="35">
        <v>320.364161062054</v>
      </c>
    </row>
    <row r="1006" spans="1:12">
      <c r="A1006" s="35">
        <v>246.01039683691263</v>
      </c>
      <c r="B1006" s="35">
        <v>272.85113674644964</v>
      </c>
      <c r="C1006" s="35">
        <v>241.45452815260415</v>
      </c>
      <c r="D1006" s="35">
        <v>230.20009749058687</v>
      </c>
      <c r="E1006" s="35">
        <v>278.99283992666898</v>
      </c>
      <c r="F1006" s="35">
        <v>242.61477838498658</v>
      </c>
      <c r="G1006" s="35">
        <v>258.56730721170521</v>
      </c>
      <c r="H1006" s="35">
        <v>274.63402494115309</v>
      </c>
      <c r="I1006" s="35">
        <v>282.68653094445847</v>
      </c>
      <c r="J1006" s="35">
        <v>290.57843769986619</v>
      </c>
      <c r="K1006" s="35">
        <v>313.9113001463802</v>
      </c>
      <c r="L1006" s="35">
        <v>349.74450343160015</v>
      </c>
    </row>
    <row r="1007" spans="1:12">
      <c r="A1007" s="35">
        <v>252.15608865865127</v>
      </c>
      <c r="B1007" s="35">
        <v>267.76701837431619</v>
      </c>
      <c r="C1007" s="35">
        <v>240.38498711919837</v>
      </c>
      <c r="D1007" s="35">
        <v>244.04096537354653</v>
      </c>
      <c r="E1007" s="35">
        <v>293.96194078676916</v>
      </c>
      <c r="F1007" s="35">
        <v>255.02147449623979</v>
      </c>
      <c r="G1007" s="35">
        <v>260.79928728066187</v>
      </c>
      <c r="H1007" s="35">
        <v>292.17768407469191</v>
      </c>
      <c r="I1007" s="35">
        <v>308.18470598165629</v>
      </c>
      <c r="J1007" s="35">
        <v>326.09405060465519</v>
      </c>
      <c r="K1007" s="35">
        <v>340.72386959297103</v>
      </c>
      <c r="L1007" s="35">
        <v>393.86666674541118</v>
      </c>
    </row>
    <row r="1008" spans="1:12">
      <c r="A1008" s="35">
        <v>255.89948506168025</v>
      </c>
      <c r="B1008" s="35">
        <v>259.36722878311235</v>
      </c>
      <c r="C1008" s="35">
        <v>239.20900765699713</v>
      </c>
      <c r="D1008" s="35">
        <v>236.84108442528176</v>
      </c>
      <c r="E1008" s="35">
        <v>282.88232664316098</v>
      </c>
      <c r="F1008" s="35">
        <v>252.73868081554687</v>
      </c>
      <c r="G1008" s="35">
        <v>241.02397656630592</v>
      </c>
      <c r="H1008" s="35">
        <v>248.11818072594838</v>
      </c>
      <c r="I1008" s="35">
        <v>284.52829249101285</v>
      </c>
      <c r="J1008" s="35">
        <v>297.67720890599793</v>
      </c>
      <c r="K1008" s="35">
        <v>300.5914161266524</v>
      </c>
      <c r="L1008" s="35">
        <v>374.95515622621923</v>
      </c>
    </row>
    <row r="1009" spans="1:12">
      <c r="A1009" s="35">
        <v>251.45141523677412</v>
      </c>
      <c r="B1009" s="35">
        <v>270.15584144947087</v>
      </c>
      <c r="C1009" s="35">
        <v>252.93895603713534</v>
      </c>
      <c r="D1009" s="35">
        <v>263.4686941454907</v>
      </c>
      <c r="E1009" s="35">
        <v>304.60603338548805</v>
      </c>
      <c r="F1009" s="35">
        <v>269.76417495251644</v>
      </c>
      <c r="G1009" s="35">
        <v>289.52500798395994</v>
      </c>
      <c r="H1009" s="35">
        <v>299.31833400020952</v>
      </c>
      <c r="I1009" s="35">
        <v>316.50085448629733</v>
      </c>
      <c r="J1009" s="35">
        <v>341.5525955370552</v>
      </c>
      <c r="K1009" s="35">
        <v>345.52579266822272</v>
      </c>
      <c r="L1009" s="35">
        <v>412.51776850408555</v>
      </c>
    </row>
    <row r="1010" spans="1:12">
      <c r="A1010" s="35">
        <v>258.83585138711317</v>
      </c>
      <c r="B1010" s="35">
        <v>260.19428341328427</v>
      </c>
      <c r="C1010" s="35">
        <v>241.63189709928722</v>
      </c>
      <c r="D1010" s="35">
        <v>248.86668122352427</v>
      </c>
      <c r="E1010" s="35">
        <v>277.73520649106757</v>
      </c>
      <c r="F1010" s="35">
        <v>251.65127828283724</v>
      </c>
      <c r="G1010" s="35">
        <v>265.91499258145785</v>
      </c>
      <c r="H1010" s="35">
        <v>260.14786711770932</v>
      </c>
      <c r="I1010" s="35">
        <v>283.14210408356053</v>
      </c>
      <c r="J1010" s="35">
        <v>314.62751847403888</v>
      </c>
      <c r="K1010" s="35">
        <v>314.69215249311566</v>
      </c>
      <c r="L1010" s="35">
        <v>359.13258934037577</v>
      </c>
    </row>
    <row r="1011" spans="1:12">
      <c r="A1011" s="35">
        <v>237.4401033227646</v>
      </c>
      <c r="B1011" s="35">
        <v>253.50971266924054</v>
      </c>
      <c r="C1011" s="35">
        <v>232.22217809308623</v>
      </c>
      <c r="D1011" s="35">
        <v>226.485899105241</v>
      </c>
      <c r="E1011" s="35">
        <v>266.84789926748948</v>
      </c>
      <c r="F1011" s="35">
        <v>240.50947123998412</v>
      </c>
      <c r="G1011" s="35">
        <v>230.60427067976374</v>
      </c>
      <c r="H1011" s="35">
        <v>231.79039922246295</v>
      </c>
      <c r="I1011" s="35">
        <v>242.73264118194396</v>
      </c>
      <c r="J1011" s="35">
        <v>245.376380584169</v>
      </c>
      <c r="K1011" s="35">
        <v>259.53554013514946</v>
      </c>
      <c r="L1011" s="35">
        <v>304.04591422656068</v>
      </c>
    </row>
    <row r="1012" spans="1:12">
      <c r="A1012" s="35">
        <v>256.72534841148433</v>
      </c>
      <c r="B1012" s="35">
        <v>261.73536160231851</v>
      </c>
      <c r="C1012" s="35">
        <v>227.10866416912711</v>
      </c>
      <c r="D1012" s="35">
        <v>238.8272054659017</v>
      </c>
      <c r="E1012" s="35">
        <v>276.83463436342907</v>
      </c>
      <c r="F1012" s="35">
        <v>244.70375122020221</v>
      </c>
      <c r="G1012" s="35">
        <v>261.61914981728569</v>
      </c>
      <c r="H1012" s="35">
        <v>258.41461314961589</v>
      </c>
      <c r="I1012" s="35">
        <v>284.67122584672529</v>
      </c>
      <c r="J1012" s="35">
        <v>285.42947899956692</v>
      </c>
      <c r="K1012" s="35">
        <v>313.46214099755031</v>
      </c>
      <c r="L1012" s="35">
        <v>350.32679245996582</v>
      </c>
    </row>
    <row r="1013" spans="1:12">
      <c r="A1013" s="35">
        <v>247.78965685968316</v>
      </c>
      <c r="B1013" s="35">
        <v>256.36330403808734</v>
      </c>
      <c r="C1013" s="35">
        <v>241.22834574458884</v>
      </c>
      <c r="D1013" s="35">
        <v>242.31619588439872</v>
      </c>
      <c r="E1013" s="35">
        <v>269.83313036237325</v>
      </c>
      <c r="F1013" s="35">
        <v>241.67546617919038</v>
      </c>
      <c r="G1013" s="35">
        <v>243.76133017939841</v>
      </c>
      <c r="H1013" s="35">
        <v>249.90745064500527</v>
      </c>
      <c r="I1013" s="35">
        <v>298.36702205656121</v>
      </c>
      <c r="J1013" s="35">
        <v>304.45111098182764</v>
      </c>
      <c r="K1013" s="35">
        <v>307.6965364350495</v>
      </c>
      <c r="L1013" s="35">
        <v>380.71946082219199</v>
      </c>
    </row>
    <row r="1014" spans="1:12">
      <c r="A1014" s="35">
        <v>248.09781480098869</v>
      </c>
      <c r="B1014" s="35">
        <v>247.35549814953131</v>
      </c>
      <c r="C1014" s="35">
        <v>234.57942489901677</v>
      </c>
      <c r="D1014" s="35">
        <v>226.31152432062456</v>
      </c>
      <c r="E1014" s="35">
        <v>259.80292157214916</v>
      </c>
      <c r="F1014" s="35">
        <v>221.51802659261486</v>
      </c>
      <c r="G1014" s="35">
        <v>227.51296521371634</v>
      </c>
      <c r="H1014" s="35">
        <v>238.16335579009407</v>
      </c>
      <c r="I1014" s="35">
        <v>242.58742807979894</v>
      </c>
      <c r="J1014" s="35">
        <v>278.27037126488477</v>
      </c>
      <c r="K1014" s="35">
        <v>303.18570247288733</v>
      </c>
      <c r="L1014" s="35">
        <v>348.36127562893148</v>
      </c>
    </row>
    <row r="1015" spans="1:12">
      <c r="A1015" s="35">
        <v>247.84257268692289</v>
      </c>
      <c r="B1015" s="35">
        <v>269.33998456453463</v>
      </c>
      <c r="C1015" s="35">
        <v>238.95109532598156</v>
      </c>
      <c r="D1015" s="35">
        <v>235.68549213704617</v>
      </c>
      <c r="E1015" s="35">
        <v>290.34620334591915</v>
      </c>
      <c r="F1015" s="35">
        <v>254.02694243762824</v>
      </c>
      <c r="G1015" s="35">
        <v>261.48085232951109</v>
      </c>
      <c r="H1015" s="35">
        <v>272.30402201598713</v>
      </c>
      <c r="I1015" s="35">
        <v>288.88628288030748</v>
      </c>
      <c r="J1015" s="35">
        <v>326.42316854643423</v>
      </c>
      <c r="K1015" s="35">
        <v>327.8208784876781</v>
      </c>
      <c r="L1015" s="35">
        <v>388.27357252531164</v>
      </c>
    </row>
    <row r="1016" spans="1:12">
      <c r="A1016" s="35">
        <v>235.76700872140674</v>
      </c>
      <c r="B1016" s="35">
        <v>257.68850616708846</v>
      </c>
      <c r="C1016" s="35">
        <v>233.85214596556918</v>
      </c>
      <c r="D1016" s="35">
        <v>216.19589080244464</v>
      </c>
      <c r="E1016" s="35">
        <v>241.87764357185006</v>
      </c>
      <c r="F1016" s="35">
        <v>224.15261246342956</v>
      </c>
      <c r="G1016" s="35">
        <v>243.33626929225611</v>
      </c>
      <c r="H1016" s="35">
        <v>242.20986177248088</v>
      </c>
      <c r="I1016" s="35">
        <v>254.1870633374117</v>
      </c>
      <c r="J1016" s="35">
        <v>269.23949193572577</v>
      </c>
      <c r="K1016" s="35">
        <v>275.58509304054689</v>
      </c>
      <c r="L1016" s="35">
        <v>313.68208669191938</v>
      </c>
    </row>
    <row r="1017" spans="1:12">
      <c r="A1017" s="35">
        <v>244.44870702888241</v>
      </c>
      <c r="B1017" s="35">
        <v>267.08732158190418</v>
      </c>
      <c r="C1017" s="35">
        <v>271.26757671756326</v>
      </c>
      <c r="D1017" s="35">
        <v>261.8061133429814</v>
      </c>
      <c r="E1017" s="35">
        <v>286.23267063932622</v>
      </c>
      <c r="F1017" s="35">
        <v>241.5718997715409</v>
      </c>
      <c r="G1017" s="35">
        <v>255.23474680478023</v>
      </c>
      <c r="H1017" s="35">
        <v>280.00007585348038</v>
      </c>
      <c r="I1017" s="35">
        <v>281.91556197906561</v>
      </c>
      <c r="J1017" s="35">
        <v>302.58299471680658</v>
      </c>
      <c r="K1017" s="35">
        <v>324.400223249372</v>
      </c>
      <c r="L1017" s="35">
        <v>365.48558049439646</v>
      </c>
    </row>
    <row r="1018" spans="1:12">
      <c r="A1018" s="35">
        <v>236.29003380062966</v>
      </c>
      <c r="B1018" s="35">
        <v>252.13310866293565</v>
      </c>
      <c r="C1018" s="35">
        <v>235.8174254902076</v>
      </c>
      <c r="D1018" s="35">
        <v>220.63613099225637</v>
      </c>
      <c r="E1018" s="35">
        <v>285.5627862444187</v>
      </c>
      <c r="F1018" s="35">
        <v>245.1810139684373</v>
      </c>
      <c r="G1018" s="35">
        <v>259.93941566281842</v>
      </c>
      <c r="H1018" s="35">
        <v>270.75284613316114</v>
      </c>
      <c r="I1018" s="35">
        <v>268.54046725875389</v>
      </c>
      <c r="J1018" s="35">
        <v>305.96008661518056</v>
      </c>
      <c r="K1018" s="35">
        <v>306.03089909511698</v>
      </c>
      <c r="L1018" s="35">
        <v>352.77068971506174</v>
      </c>
    </row>
    <row r="1019" spans="1:12">
      <c r="A1019" s="35">
        <v>236.90107257457157</v>
      </c>
      <c r="B1019" s="35">
        <v>256.01597714557943</v>
      </c>
      <c r="C1019" s="35">
        <v>229.81176417898777</v>
      </c>
      <c r="D1019" s="35">
        <v>224.85459282027989</v>
      </c>
      <c r="E1019" s="35">
        <v>260.02322163025457</v>
      </c>
      <c r="F1019" s="35">
        <v>239.54084672698866</v>
      </c>
      <c r="G1019" s="35">
        <v>249.54010810019565</v>
      </c>
      <c r="H1019" s="35">
        <v>242.32269970218584</v>
      </c>
      <c r="I1019" s="35">
        <v>250.97383212582722</v>
      </c>
      <c r="J1019" s="35">
        <v>256.84774512432642</v>
      </c>
      <c r="K1019" s="35">
        <v>268.38376709044223</v>
      </c>
      <c r="L1019" s="35">
        <v>326.61285497023454</v>
      </c>
    </row>
    <row r="1020" spans="1:12">
      <c r="A1020" s="35">
        <v>254.33390637767764</v>
      </c>
      <c r="B1020" s="35">
        <v>273.79496141305015</v>
      </c>
      <c r="C1020" s="35">
        <v>242.25356543252514</v>
      </c>
      <c r="D1020" s="35">
        <v>270.43283307444005</v>
      </c>
      <c r="E1020" s="35">
        <v>296.02658724279087</v>
      </c>
      <c r="F1020" s="35">
        <v>263.90883322109693</v>
      </c>
      <c r="G1020" s="35">
        <v>265.68698207982146</v>
      </c>
      <c r="H1020" s="35">
        <v>281.29561090627277</v>
      </c>
      <c r="I1020" s="35">
        <v>317.6864111963996</v>
      </c>
      <c r="J1020" s="35">
        <v>319.12686616223965</v>
      </c>
      <c r="K1020" s="35">
        <v>333.39631977632104</v>
      </c>
      <c r="L1020" s="35">
        <v>420.76871943201337</v>
      </c>
    </row>
    <row r="1021" spans="1:12">
      <c r="A1021" s="35">
        <v>228.74794409260491</v>
      </c>
      <c r="B1021" s="35">
        <v>260.65510040296783</v>
      </c>
      <c r="C1021" s="35">
        <v>234.82687299029917</v>
      </c>
      <c r="D1021" s="35">
        <v>242.90481469737102</v>
      </c>
      <c r="E1021" s="35">
        <v>263.78941866664354</v>
      </c>
      <c r="F1021" s="35">
        <v>240.6175083795786</v>
      </c>
      <c r="G1021" s="35">
        <v>227.79012465668276</v>
      </c>
      <c r="H1021" s="35">
        <v>242.22196565482244</v>
      </c>
      <c r="I1021" s="35">
        <v>258.95862822549475</v>
      </c>
      <c r="J1021" s="35">
        <v>292.69845277314221</v>
      </c>
      <c r="K1021" s="35">
        <v>298.10535596693097</v>
      </c>
      <c r="L1021" s="35">
        <v>341.07774718429079</v>
      </c>
    </row>
    <row r="1022" spans="1:12">
      <c r="A1022" s="35">
        <v>245.32384116952127</v>
      </c>
      <c r="B1022" s="35">
        <v>257.43358829005393</v>
      </c>
      <c r="C1022" s="35">
        <v>234.95552116060549</v>
      </c>
      <c r="D1022" s="35">
        <v>244.23101274660547</v>
      </c>
      <c r="E1022" s="35">
        <v>285.2163024442267</v>
      </c>
      <c r="F1022" s="35">
        <v>224.53850184967439</v>
      </c>
      <c r="G1022" s="35">
        <v>265.89045790958346</v>
      </c>
      <c r="H1022" s="35">
        <v>254.68497746525438</v>
      </c>
      <c r="I1022" s="35">
        <v>273.88492211212122</v>
      </c>
      <c r="J1022" s="35">
        <v>289.61906010308587</v>
      </c>
      <c r="K1022" s="35">
        <v>290.28844005228319</v>
      </c>
      <c r="L1022" s="35">
        <v>362.20022582858758</v>
      </c>
    </row>
    <row r="1023" spans="1:12">
      <c r="A1023" s="35">
        <v>237.23495408330507</v>
      </c>
      <c r="B1023" s="35">
        <v>242.49562128099188</v>
      </c>
      <c r="C1023" s="35">
        <v>230.65509883488826</v>
      </c>
      <c r="D1023" s="35">
        <v>228.27385535196819</v>
      </c>
      <c r="E1023" s="35">
        <v>271.73183911395154</v>
      </c>
      <c r="F1023" s="35">
        <v>220.0641312088861</v>
      </c>
      <c r="G1023" s="35">
        <v>232.77910622599231</v>
      </c>
      <c r="H1023" s="35">
        <v>242.71711777626066</v>
      </c>
      <c r="I1023" s="35">
        <v>262.93715606902794</v>
      </c>
      <c r="J1023" s="35">
        <v>267.6915327141615</v>
      </c>
      <c r="K1023" s="35">
        <v>284.76437719995812</v>
      </c>
      <c r="L1023" s="35">
        <v>337.26189682563052</v>
      </c>
    </row>
    <row r="1024" spans="1:12">
      <c r="A1024" s="35">
        <v>252.61228432660099</v>
      </c>
      <c r="B1024" s="35">
        <v>252.96977873438857</v>
      </c>
      <c r="C1024" s="35">
        <v>233.20002674565126</v>
      </c>
      <c r="D1024" s="35">
        <v>223.53127324394711</v>
      </c>
      <c r="E1024" s="35">
        <v>282.81082370322821</v>
      </c>
      <c r="F1024" s="35">
        <v>228.9463014187439</v>
      </c>
      <c r="G1024" s="35">
        <v>232.04337961951362</v>
      </c>
      <c r="H1024" s="35">
        <v>231.7539076145662</v>
      </c>
      <c r="I1024" s="35">
        <v>255.15058169552771</v>
      </c>
      <c r="J1024" s="35">
        <v>266.48312745051578</v>
      </c>
      <c r="K1024" s="35">
        <v>282.00320770833474</v>
      </c>
      <c r="L1024" s="35">
        <v>321.85239973185594</v>
      </c>
    </row>
    <row r="1025" spans="1:12">
      <c r="A1025" s="35">
        <v>255.72922841089533</v>
      </c>
      <c r="B1025" s="35">
        <v>276.73764107176049</v>
      </c>
      <c r="C1025" s="35">
        <v>245.13739804965169</v>
      </c>
      <c r="D1025" s="35">
        <v>242.79183136845933</v>
      </c>
      <c r="E1025" s="35">
        <v>293.96226624249891</v>
      </c>
      <c r="F1025" s="35">
        <v>277.5519074733553</v>
      </c>
      <c r="G1025" s="35">
        <v>271.4773590103095</v>
      </c>
      <c r="H1025" s="35">
        <v>280.04811150778369</v>
      </c>
      <c r="I1025" s="35">
        <v>306.74456671404278</v>
      </c>
      <c r="J1025" s="35">
        <v>333.22857364961112</v>
      </c>
      <c r="K1025" s="35">
        <v>338.70870468871539</v>
      </c>
      <c r="L1025" s="35">
        <v>396.15343283406264</v>
      </c>
    </row>
    <row r="1026" spans="1:12">
      <c r="A1026" s="35">
        <v>243.55261649197857</v>
      </c>
      <c r="B1026" s="35">
        <v>251.14665203580901</v>
      </c>
      <c r="C1026" s="35">
        <v>233.04978910512028</v>
      </c>
      <c r="D1026" s="35">
        <v>249.65151232448954</v>
      </c>
      <c r="E1026" s="35">
        <v>279.72390369920498</v>
      </c>
      <c r="F1026" s="35">
        <v>257.28191999511029</v>
      </c>
      <c r="G1026" s="35">
        <v>258.87329424983352</v>
      </c>
      <c r="H1026" s="35">
        <v>258.36957121226038</v>
      </c>
      <c r="I1026" s="35">
        <v>291.65703971254095</v>
      </c>
      <c r="J1026" s="35">
        <v>314.35698995490026</v>
      </c>
      <c r="K1026" s="35">
        <v>306.33423257001948</v>
      </c>
      <c r="L1026" s="35">
        <v>361.1884779001781</v>
      </c>
    </row>
    <row r="1027" spans="1:12">
      <c r="A1027" s="35">
        <v>265.42590550807108</v>
      </c>
      <c r="B1027" s="35">
        <v>274.36798103289021</v>
      </c>
      <c r="C1027" s="35">
        <v>242.98980616496499</v>
      </c>
      <c r="D1027" s="35">
        <v>253.28413183750214</v>
      </c>
      <c r="E1027" s="35">
        <v>304.23077272758047</v>
      </c>
      <c r="F1027" s="35">
        <v>270.16366187562591</v>
      </c>
      <c r="G1027" s="35">
        <v>274.20794396774772</v>
      </c>
      <c r="H1027" s="35">
        <v>281.37290764887058</v>
      </c>
      <c r="I1027" s="35">
        <v>322.47914505412655</v>
      </c>
      <c r="J1027" s="35">
        <v>332.53909277491556</v>
      </c>
      <c r="K1027" s="35">
        <v>354.44965669530421</v>
      </c>
      <c r="L1027" s="35">
        <v>415.52967771105807</v>
      </c>
    </row>
    <row r="1028" spans="1:12">
      <c r="A1028" s="19">
        <v>241.38323555121258</v>
      </c>
      <c r="B1028" s="19">
        <v>246.59921073087941</v>
      </c>
      <c r="C1028" s="19">
        <v>235.52119596844889</v>
      </c>
      <c r="D1028" s="19">
        <v>226.08052525061296</v>
      </c>
      <c r="E1028" s="19">
        <v>253.86389688093388</v>
      </c>
      <c r="F1028" s="19">
        <v>224.46887872351212</v>
      </c>
      <c r="G1028" s="19">
        <v>232.48399698864324</v>
      </c>
      <c r="H1028" s="19">
        <v>246.60755479823035</v>
      </c>
      <c r="I1028" s="19">
        <v>255.68082765692313</v>
      </c>
      <c r="J1028" s="19">
        <v>261.61856650833317</v>
      </c>
      <c r="K1028" s="19">
        <v>258.9450208054194</v>
      </c>
      <c r="L1028" s="19">
        <v>317.99351848166651</v>
      </c>
    </row>
    <row r="1029" spans="1:12">
      <c r="A1029" s="19">
        <v>240.46356070339644</v>
      </c>
      <c r="B1029" s="19">
        <v>261.61356141232744</v>
      </c>
      <c r="C1029" s="19">
        <v>239.6139966325261</v>
      </c>
      <c r="D1029" s="19">
        <v>241.35501874469631</v>
      </c>
      <c r="E1029" s="19">
        <v>290.68052820589639</v>
      </c>
      <c r="F1029" s="19">
        <v>257.36994591434075</v>
      </c>
      <c r="G1029" s="19">
        <v>272.80466499742903</v>
      </c>
      <c r="H1029" s="19">
        <v>277.02005506332102</v>
      </c>
      <c r="I1029" s="19">
        <v>295.44146755074138</v>
      </c>
      <c r="J1029" s="19">
        <v>320.14483895235645</v>
      </c>
      <c r="K1029" s="19">
        <v>328.81169431183798</v>
      </c>
      <c r="L1029" s="19">
        <v>401.37165150989023</v>
      </c>
    </row>
    <row r="1030" spans="1:12">
      <c r="A1030" s="19">
        <v>248.56289381756446</v>
      </c>
      <c r="B1030" s="19">
        <v>258.96621458028994</v>
      </c>
      <c r="C1030" s="19">
        <v>258.58368016146545</v>
      </c>
      <c r="D1030" s="19">
        <v>254.39966249921059</v>
      </c>
      <c r="E1030" s="19">
        <v>292.28124030118238</v>
      </c>
      <c r="F1030" s="19">
        <v>250.90344222795702</v>
      </c>
      <c r="G1030" s="19">
        <v>272.50169160095527</v>
      </c>
      <c r="H1030" s="19">
        <v>300.62667477165866</v>
      </c>
      <c r="I1030" s="19">
        <v>298.35020807391442</v>
      </c>
      <c r="J1030" s="19">
        <v>336.05430169789372</v>
      </c>
      <c r="K1030" s="19">
        <v>337.84311447028256</v>
      </c>
      <c r="L1030" s="19">
        <v>414.59561240273382</v>
      </c>
    </row>
    <row r="1031" spans="1:12">
      <c r="A1031" s="19">
        <v>237.85654013895279</v>
      </c>
      <c r="B1031" s="19">
        <v>257.28253642708825</v>
      </c>
      <c r="C1031" s="19">
        <v>231.72596688186002</v>
      </c>
      <c r="D1031" s="19">
        <v>235.21940037608894</v>
      </c>
      <c r="E1031" s="19">
        <v>265.86260433759156</v>
      </c>
      <c r="F1031" s="19">
        <v>248.58534389379957</v>
      </c>
      <c r="G1031" s="19">
        <v>248.83701960796574</v>
      </c>
      <c r="H1031" s="19">
        <v>254.20426877588054</v>
      </c>
      <c r="I1031" s="19">
        <v>284.83753277781642</v>
      </c>
      <c r="J1031" s="19">
        <v>294.62207681792444</v>
      </c>
      <c r="K1031" s="19">
        <v>304.68585673239289</v>
      </c>
      <c r="L1031" s="19">
        <v>354.35388703861645</v>
      </c>
    </row>
    <row r="1032" spans="1:12">
      <c r="A1032" s="19">
        <v>236.04593985334157</v>
      </c>
      <c r="B1032" s="19">
        <v>238.62611718235365</v>
      </c>
      <c r="C1032" s="19">
        <v>213.0417673810058</v>
      </c>
      <c r="D1032" s="19">
        <v>221.45331043000627</v>
      </c>
      <c r="E1032" s="19">
        <v>266.58065931188924</v>
      </c>
      <c r="F1032" s="19">
        <v>233.14227105708486</v>
      </c>
      <c r="G1032" s="19">
        <v>235.24249157124032</v>
      </c>
      <c r="H1032" s="19">
        <v>241.74716564907584</v>
      </c>
      <c r="I1032" s="19">
        <v>276.45574725787503</v>
      </c>
      <c r="J1032" s="19">
        <v>270.68100881665123</v>
      </c>
      <c r="K1032" s="19">
        <v>288.54450744600928</v>
      </c>
      <c r="L1032" s="19">
        <v>331.06390853559128</v>
      </c>
    </row>
    <row r="1033" spans="1:12">
      <c r="A1033" s="19">
        <v>243.49297421882673</v>
      </c>
      <c r="B1033" s="19">
        <v>256.24947024421493</v>
      </c>
      <c r="C1033" s="19">
        <v>247.93442465912307</v>
      </c>
      <c r="D1033" s="19">
        <v>256.45301666489519</v>
      </c>
      <c r="E1033" s="19">
        <v>273.12598557966572</v>
      </c>
      <c r="F1033" s="19">
        <v>253.65211828341197</v>
      </c>
      <c r="G1033" s="19">
        <v>266.2173478343326</v>
      </c>
      <c r="H1033" s="19">
        <v>256.91692991807588</v>
      </c>
      <c r="I1033" s="19">
        <v>306.89171957581954</v>
      </c>
      <c r="J1033" s="19">
        <v>325.50068112186545</v>
      </c>
      <c r="K1033" s="19">
        <v>311.93935501066073</v>
      </c>
      <c r="L1033" s="19">
        <v>375.59799822205235</v>
      </c>
    </row>
    <row r="1034" spans="1:12">
      <c r="A1034" s="19">
        <v>242.93218981895271</v>
      </c>
      <c r="B1034" s="19">
        <v>257.90346198453852</v>
      </c>
      <c r="C1034" s="19">
        <v>245.9835004246529</v>
      </c>
      <c r="D1034" s="19">
        <v>250.8031512321331</v>
      </c>
      <c r="E1034" s="19">
        <v>279.60191522998849</v>
      </c>
      <c r="F1034" s="19">
        <v>257.9162561452207</v>
      </c>
      <c r="G1034" s="19">
        <v>256.13815719131912</v>
      </c>
      <c r="H1034" s="19">
        <v>259.50418008387169</v>
      </c>
      <c r="I1034" s="19">
        <v>290.70576199619569</v>
      </c>
      <c r="J1034" s="19">
        <v>298.58028120675209</v>
      </c>
      <c r="K1034" s="19">
        <v>290.3950945666648</v>
      </c>
      <c r="L1034" s="19">
        <v>363.25177598883539</v>
      </c>
    </row>
    <row r="1035" spans="1:12">
      <c r="A1035" s="19">
        <v>236.02716433175894</v>
      </c>
      <c r="B1035" s="19">
        <v>244.81504315932713</v>
      </c>
      <c r="C1035" s="19">
        <v>212.3334348074074</v>
      </c>
      <c r="D1035" s="19">
        <v>245.57117677561985</v>
      </c>
      <c r="E1035" s="19">
        <v>277.71723452605283</v>
      </c>
      <c r="F1035" s="19">
        <v>212.73629529255757</v>
      </c>
      <c r="G1035" s="19">
        <v>234.50983908305659</v>
      </c>
      <c r="H1035" s="19">
        <v>247.74874624931027</v>
      </c>
      <c r="I1035" s="19">
        <v>262.55767961792395</v>
      </c>
      <c r="J1035" s="19">
        <v>292.53191884045356</v>
      </c>
      <c r="K1035" s="19">
        <v>288.75057900276568</v>
      </c>
      <c r="L1035" s="19">
        <v>351.64462423826012</v>
      </c>
    </row>
    <row r="1036" spans="1:12">
      <c r="A1036" s="19">
        <v>245.21159786870882</v>
      </c>
      <c r="B1036" s="19">
        <v>256.8351078902158</v>
      </c>
      <c r="C1036" s="19">
        <v>229.09973474013844</v>
      </c>
      <c r="D1036" s="19">
        <v>249.03440093327427</v>
      </c>
      <c r="E1036" s="19">
        <v>269.64620558815847</v>
      </c>
      <c r="F1036" s="19">
        <v>240.70260785560006</v>
      </c>
      <c r="G1036" s="19">
        <v>235.68631652770426</v>
      </c>
      <c r="H1036" s="19">
        <v>252.7261186152661</v>
      </c>
      <c r="I1036" s="19">
        <v>258.05045299947204</v>
      </c>
      <c r="J1036" s="19">
        <v>274.73447595626448</v>
      </c>
      <c r="K1036" s="19">
        <v>273.92967808394502</v>
      </c>
      <c r="L1036" s="19">
        <v>323.92008333084397</v>
      </c>
    </row>
    <row r="1037" spans="1:12">
      <c r="A1037" s="19">
        <v>235.58439068716288</v>
      </c>
      <c r="B1037" s="19">
        <v>248.16212423980718</v>
      </c>
      <c r="C1037" s="19">
        <v>251.88177750410466</v>
      </c>
      <c r="D1037" s="19">
        <v>229.96033421707696</v>
      </c>
      <c r="E1037" s="19">
        <v>281.63300593323549</v>
      </c>
      <c r="F1037" s="19">
        <v>232.43951153908316</v>
      </c>
      <c r="G1037" s="19">
        <v>250.7897931014962</v>
      </c>
      <c r="H1037" s="19">
        <v>258.28433785656506</v>
      </c>
      <c r="I1037" s="19">
        <v>285.06498619686897</v>
      </c>
      <c r="J1037" s="19">
        <v>292.05871514252743</v>
      </c>
      <c r="K1037" s="19">
        <v>296.9991824897491</v>
      </c>
      <c r="L1037" s="19">
        <v>345.53924151958591</v>
      </c>
    </row>
    <row r="1038" spans="1:12">
      <c r="A1038" s="19">
        <v>253.10916696102919</v>
      </c>
      <c r="B1038" s="19">
        <v>257.10643452416167</v>
      </c>
      <c r="C1038" s="19">
        <v>233.73462595313958</v>
      </c>
      <c r="D1038" s="19">
        <v>240.69631784863736</v>
      </c>
      <c r="E1038" s="19">
        <v>271.80397715937892</v>
      </c>
      <c r="F1038" s="19">
        <v>237.48705560957006</v>
      </c>
      <c r="G1038" s="19">
        <v>249.32956633011537</v>
      </c>
      <c r="H1038" s="19">
        <v>258.76339693132786</v>
      </c>
      <c r="I1038" s="19">
        <v>249.19707365366222</v>
      </c>
      <c r="J1038" s="19">
        <v>263.79063262919868</v>
      </c>
      <c r="K1038" s="19">
        <v>266.30016912020483</v>
      </c>
      <c r="L1038" s="19">
        <v>318.7220261620821</v>
      </c>
    </row>
    <row r="1039" spans="1:12">
      <c r="A1039" s="19">
        <v>262.07889483451834</v>
      </c>
      <c r="B1039" s="19">
        <v>289.14700191290206</v>
      </c>
      <c r="C1039" s="19">
        <v>266.67795245547586</v>
      </c>
      <c r="D1039" s="19">
        <v>277.7491531244201</v>
      </c>
      <c r="E1039" s="19">
        <v>312.9704225364722</v>
      </c>
      <c r="F1039" s="19">
        <v>292.51468076827825</v>
      </c>
      <c r="G1039" s="19">
        <v>291.94037572546051</v>
      </c>
      <c r="H1039" s="19">
        <v>318.79449702766976</v>
      </c>
      <c r="I1039" s="19">
        <v>345.37864329038825</v>
      </c>
      <c r="J1039" s="19">
        <v>356.05439926937595</v>
      </c>
      <c r="K1039" s="19">
        <v>398.64055988080975</v>
      </c>
      <c r="L1039" s="19">
        <v>470.2834725693603</v>
      </c>
    </row>
    <row r="1040" spans="1:12">
      <c r="A1040" s="19">
        <v>244.31190919653622</v>
      </c>
      <c r="B1040" s="19">
        <v>262.10656540208947</v>
      </c>
      <c r="C1040" s="19">
        <v>253.75928377888445</v>
      </c>
      <c r="D1040" s="19">
        <v>259.48566020102396</v>
      </c>
      <c r="E1040" s="19">
        <v>297.23003239113791</v>
      </c>
      <c r="F1040" s="19">
        <v>289.48124268092562</v>
      </c>
      <c r="G1040" s="19">
        <v>282.3902383263158</v>
      </c>
      <c r="H1040" s="19">
        <v>298.35701097951102</v>
      </c>
      <c r="I1040" s="19">
        <v>338.11042719167153</v>
      </c>
      <c r="J1040" s="19">
        <v>365.01355778900484</v>
      </c>
      <c r="K1040" s="19">
        <v>378.86478276437697</v>
      </c>
      <c r="L1040" s="19">
        <v>429.42437367822754</v>
      </c>
    </row>
    <row r="1041" spans="1:12">
      <c r="A1041" s="19">
        <v>248.64185136901736</v>
      </c>
      <c r="B1041" s="19">
        <v>256.17741534396635</v>
      </c>
      <c r="C1041" s="19">
        <v>250.23838882694545</v>
      </c>
      <c r="D1041" s="19">
        <v>238.58127190221236</v>
      </c>
      <c r="E1041" s="19">
        <v>282.7716337429473</v>
      </c>
      <c r="F1041" s="19">
        <v>246.32704353600374</v>
      </c>
      <c r="G1041" s="19">
        <v>266.24799395696618</v>
      </c>
      <c r="H1041" s="19">
        <v>275.16672544697155</v>
      </c>
      <c r="I1041" s="19">
        <v>280.1216491017741</v>
      </c>
      <c r="J1041" s="19">
        <v>300.10007565236253</v>
      </c>
      <c r="K1041" s="19">
        <v>310.40869827312281</v>
      </c>
      <c r="L1041" s="19">
        <v>352.24958089153006</v>
      </c>
    </row>
    <row r="1042" spans="1:12">
      <c r="A1042" s="19">
        <v>246.97400333183927</v>
      </c>
      <c r="B1042" s="19">
        <v>259.76785248440984</v>
      </c>
      <c r="C1042" s="19">
        <v>238.80398005054201</v>
      </c>
      <c r="D1042" s="19">
        <v>233.23388469751021</v>
      </c>
      <c r="E1042" s="19">
        <v>272.82843952948645</v>
      </c>
      <c r="F1042" s="19">
        <v>229.7839755038365</v>
      </c>
      <c r="G1042" s="19">
        <v>253.50577041271708</v>
      </c>
      <c r="H1042" s="19">
        <v>248.32987247958951</v>
      </c>
      <c r="I1042" s="19">
        <v>266.90290768793068</v>
      </c>
      <c r="J1042" s="19">
        <v>283.40163627387841</v>
      </c>
      <c r="K1042" s="19">
        <v>306.53578153563296</v>
      </c>
      <c r="L1042" s="19">
        <v>356.16289931575591</v>
      </c>
    </row>
    <row r="1043" spans="1:12">
      <c r="A1043" s="19">
        <v>246.02522499710093</v>
      </c>
      <c r="B1043" s="19">
        <v>249.42442427031742</v>
      </c>
      <c r="C1043" s="19">
        <v>239.86934155164184</v>
      </c>
      <c r="D1043" s="19">
        <v>214.3037239810628</v>
      </c>
      <c r="E1043" s="19">
        <v>267.83054616088083</v>
      </c>
      <c r="F1043" s="19">
        <v>233.85752654680826</v>
      </c>
      <c r="G1043" s="19">
        <v>255.79843515306408</v>
      </c>
      <c r="H1043" s="19">
        <v>241.22356740650324</v>
      </c>
      <c r="I1043" s="19">
        <v>287.87773892397053</v>
      </c>
      <c r="J1043" s="19">
        <v>285.6142282846514</v>
      </c>
      <c r="K1043" s="19">
        <v>306.82298592763078</v>
      </c>
      <c r="L1043" s="19">
        <v>364.04739713941967</v>
      </c>
    </row>
    <row r="1044" spans="1:12">
      <c r="A1044" s="19">
        <v>254.1625028680935</v>
      </c>
      <c r="B1044" s="19">
        <v>266.70579801468818</v>
      </c>
      <c r="C1044" s="19">
        <v>246.27878009410011</v>
      </c>
      <c r="D1044" s="19">
        <v>256.81405632844042</v>
      </c>
      <c r="E1044" s="19">
        <v>288.25925424462412</v>
      </c>
      <c r="F1044" s="19">
        <v>268.00857912776274</v>
      </c>
      <c r="G1044" s="19">
        <v>290.51440590713401</v>
      </c>
      <c r="H1044" s="19">
        <v>301.03656243363253</v>
      </c>
      <c r="I1044" s="19">
        <v>314.78371543546842</v>
      </c>
      <c r="J1044" s="19">
        <v>337.06709450118836</v>
      </c>
      <c r="K1044" s="19">
        <v>364.76022734542084</v>
      </c>
      <c r="L1044" s="19">
        <v>442.11546143269572</v>
      </c>
    </row>
    <row r="1045" spans="1:12">
      <c r="A1045" s="19">
        <v>253.81525272092321</v>
      </c>
      <c r="B1045" s="19">
        <v>264.79550588953111</v>
      </c>
      <c r="C1045" s="19">
        <v>232.85727892649516</v>
      </c>
      <c r="D1045" s="19">
        <v>222.30155280193532</v>
      </c>
      <c r="E1045" s="19">
        <v>275.85473952591241</v>
      </c>
      <c r="F1045" s="19">
        <v>245.61253623644012</v>
      </c>
      <c r="G1045" s="19">
        <v>246.63528828265484</v>
      </c>
      <c r="H1045" s="19">
        <v>265.34202539410046</v>
      </c>
      <c r="I1045" s="19">
        <v>286.15424443788561</v>
      </c>
      <c r="J1045" s="19">
        <v>285.7679649916015</v>
      </c>
      <c r="K1045" s="19">
        <v>291.62101909374536</v>
      </c>
      <c r="L1045" s="19">
        <v>340.77218168321406</v>
      </c>
    </row>
    <row r="1046" spans="1:12">
      <c r="A1046" s="19">
        <v>236.23373675897167</v>
      </c>
      <c r="B1046" s="19">
        <v>243.60333891342572</v>
      </c>
      <c r="C1046" s="19">
        <v>232.12486017546439</v>
      </c>
      <c r="D1046" s="19">
        <v>244.75008092311566</v>
      </c>
      <c r="E1046" s="19">
        <v>267.1506038078378</v>
      </c>
      <c r="F1046" s="19">
        <v>232.96300668533695</v>
      </c>
      <c r="G1046" s="19">
        <v>235.82792456758565</v>
      </c>
      <c r="H1046" s="19">
        <v>257.77275965972376</v>
      </c>
      <c r="I1046" s="19">
        <v>274.84371463274556</v>
      </c>
      <c r="J1046" s="19">
        <v>284.31043245680291</v>
      </c>
      <c r="K1046" s="19">
        <v>291.98997112458829</v>
      </c>
      <c r="L1046" s="19">
        <v>336.87008051741992</v>
      </c>
    </row>
    <row r="1047" spans="1:12">
      <c r="A1047" s="19">
        <v>252.73218997790599</v>
      </c>
      <c r="B1047" s="19">
        <v>257.92376322529623</v>
      </c>
      <c r="C1047" s="19">
        <v>246.77360641044382</v>
      </c>
      <c r="D1047" s="19">
        <v>218.88280781968527</v>
      </c>
      <c r="E1047" s="19">
        <v>270.50048589660975</v>
      </c>
      <c r="F1047" s="19">
        <v>251.4047741919573</v>
      </c>
      <c r="G1047" s="19">
        <v>245.05301192676652</v>
      </c>
      <c r="H1047" s="19">
        <v>241.15149386933197</v>
      </c>
      <c r="I1047" s="19">
        <v>275.59104477417702</v>
      </c>
      <c r="J1047" s="19">
        <v>281.21723260260404</v>
      </c>
      <c r="K1047" s="19">
        <v>300.76915954380189</v>
      </c>
      <c r="L1047" s="19">
        <v>330.9731146324163</v>
      </c>
    </row>
    <row r="1048" spans="1:12">
      <c r="A1048" s="19">
        <v>248.55252366670479</v>
      </c>
      <c r="B1048" s="19">
        <v>271.73686034916585</v>
      </c>
      <c r="C1048" s="19">
        <v>246.8887562866245</v>
      </c>
      <c r="D1048" s="19">
        <v>250.32027152641788</v>
      </c>
      <c r="E1048" s="19">
        <v>286.25957367602354</v>
      </c>
      <c r="F1048" s="19">
        <v>231.05937414222257</v>
      </c>
      <c r="G1048" s="19">
        <v>241.89827227848528</v>
      </c>
      <c r="H1048" s="19">
        <v>246.72669887386067</v>
      </c>
      <c r="I1048" s="19">
        <v>286.95979151643644</v>
      </c>
      <c r="J1048" s="19">
        <v>278.83942232467081</v>
      </c>
      <c r="K1048" s="19">
        <v>284.96360204864737</v>
      </c>
      <c r="L1048" s="19">
        <v>339.58509659457309</v>
      </c>
    </row>
    <row r="1049" spans="1:12">
      <c r="A1049" s="19">
        <v>241.38135158428284</v>
      </c>
      <c r="B1049" s="19">
        <v>276.05514459570128</v>
      </c>
      <c r="C1049" s="19">
        <v>246.70537337477253</v>
      </c>
      <c r="D1049" s="19">
        <v>230.71068248247332</v>
      </c>
      <c r="E1049" s="19">
        <v>259.6660608686143</v>
      </c>
      <c r="F1049" s="19">
        <v>255.03790091348267</v>
      </c>
      <c r="G1049" s="19">
        <v>239.83905882574933</v>
      </c>
      <c r="H1049" s="19">
        <v>257.12023671506455</v>
      </c>
      <c r="I1049" s="19">
        <v>279.4863327314489</v>
      </c>
      <c r="J1049" s="19">
        <v>290.6693649315477</v>
      </c>
      <c r="K1049" s="19">
        <v>295.20049958029614</v>
      </c>
      <c r="L1049" s="19">
        <v>339.44589905200741</v>
      </c>
    </row>
    <row r="1050" spans="1:12">
      <c r="A1050" s="19">
        <v>247.07163521910013</v>
      </c>
      <c r="B1050" s="19">
        <v>259.78536331653305</v>
      </c>
      <c r="C1050" s="19">
        <v>244.01602348252334</v>
      </c>
      <c r="D1050" s="19">
        <v>219.83719641760831</v>
      </c>
      <c r="E1050" s="19">
        <v>275.37955992034807</v>
      </c>
      <c r="F1050" s="19">
        <v>243.06402021056957</v>
      </c>
      <c r="G1050" s="19">
        <v>248.34950181523348</v>
      </c>
      <c r="H1050" s="19">
        <v>246.98169613198661</v>
      </c>
      <c r="I1050" s="19">
        <v>265.14922450321455</v>
      </c>
      <c r="J1050" s="19">
        <v>265.90557720308828</v>
      </c>
      <c r="K1050" s="19">
        <v>299.23021538899695</v>
      </c>
      <c r="L1050" s="19">
        <v>352.96050072488003</v>
      </c>
    </row>
    <row r="1051" spans="1:12">
      <c r="A1051" s="19">
        <v>235.38558041337961</v>
      </c>
      <c r="B1051" s="19">
        <v>249.9782444162033</v>
      </c>
      <c r="C1051" s="19">
        <v>241.41222590532544</v>
      </c>
      <c r="D1051" s="19">
        <v>240.52185423771965</v>
      </c>
      <c r="E1051" s="19">
        <v>271.89544554113814</v>
      </c>
      <c r="F1051" s="19">
        <v>229.4517962515919</v>
      </c>
      <c r="G1051" s="19">
        <v>252.0080860119466</v>
      </c>
      <c r="H1051" s="19">
        <v>266.79243983735489</v>
      </c>
      <c r="I1051" s="19">
        <v>278.80453987705675</v>
      </c>
      <c r="J1051" s="19">
        <v>314.71454017060887</v>
      </c>
      <c r="K1051" s="19">
        <v>320.05364571304375</v>
      </c>
      <c r="L1051" s="19">
        <v>375.89734179087162</v>
      </c>
    </row>
    <row r="1052" spans="1:12">
      <c r="A1052" s="19">
        <v>233.69923027392247</v>
      </c>
      <c r="B1052" s="19">
        <v>254.42833479378643</v>
      </c>
      <c r="C1052" s="19">
        <v>243.09824099651914</v>
      </c>
      <c r="D1052" s="19">
        <v>218.00829197520164</v>
      </c>
      <c r="E1052" s="19">
        <v>265.22846177111899</v>
      </c>
      <c r="F1052" s="19">
        <v>242.74824036673061</v>
      </c>
      <c r="G1052" s="19">
        <v>255.20630081207483</v>
      </c>
      <c r="H1052" s="19">
        <v>260.46916889439103</v>
      </c>
      <c r="I1052" s="19">
        <v>275.66684190368454</v>
      </c>
      <c r="J1052" s="19">
        <v>301.49355505853998</v>
      </c>
      <c r="K1052" s="19">
        <v>310.77467983653492</v>
      </c>
      <c r="L1052" s="19">
        <v>352.64894995318372</v>
      </c>
    </row>
    <row r="1053" spans="1:12">
      <c r="A1053" s="19">
        <v>239.2161071173206</v>
      </c>
      <c r="B1053" s="19">
        <v>268.38872565200313</v>
      </c>
      <c r="C1053" s="19">
        <v>243.35735008762816</v>
      </c>
      <c r="D1053" s="19">
        <v>242.7932401014084</v>
      </c>
      <c r="E1053" s="19">
        <v>267.63176527469892</v>
      </c>
      <c r="F1053" s="19">
        <v>240.98057520457439</v>
      </c>
      <c r="G1053" s="19">
        <v>249.82758568268642</v>
      </c>
      <c r="H1053" s="19">
        <v>243.86137464129686</v>
      </c>
      <c r="I1053" s="19">
        <v>275.95185828920262</v>
      </c>
      <c r="J1053" s="19">
        <v>285.70916436592228</v>
      </c>
      <c r="K1053" s="19">
        <v>299.80689620663617</v>
      </c>
      <c r="L1053" s="19">
        <v>338.01123405351939</v>
      </c>
    </row>
    <row r="1054" spans="1:12">
      <c r="A1054" s="19">
        <v>249.15850266167723</v>
      </c>
      <c r="B1054" s="19">
        <v>253.29870418195321</v>
      </c>
      <c r="C1054" s="19">
        <v>217.61001073942896</v>
      </c>
      <c r="D1054" s="19">
        <v>224.08433646085655</v>
      </c>
      <c r="E1054" s="19">
        <v>264.12065667360702</v>
      </c>
      <c r="F1054" s="19">
        <v>231.07912185712368</v>
      </c>
      <c r="G1054" s="19">
        <v>240.17115538723112</v>
      </c>
      <c r="H1054" s="19">
        <v>246.0500820156349</v>
      </c>
      <c r="I1054" s="19">
        <v>264.57547344093251</v>
      </c>
      <c r="J1054" s="19">
        <v>275.58271100196578</v>
      </c>
      <c r="K1054" s="19">
        <v>292.46665752786322</v>
      </c>
      <c r="L1054" s="19">
        <v>349.53750226547726</v>
      </c>
    </row>
    <row r="1055" spans="1:12">
      <c r="A1055" s="19">
        <v>253.46078714429848</v>
      </c>
      <c r="B1055" s="19">
        <v>276.37731989011007</v>
      </c>
      <c r="C1055" s="19">
        <v>248.71836806575578</v>
      </c>
      <c r="D1055" s="19">
        <v>251.97671255036715</v>
      </c>
      <c r="E1055" s="19">
        <v>292.97395838146656</v>
      </c>
      <c r="F1055" s="19">
        <v>259.45493821793673</v>
      </c>
      <c r="G1055" s="19">
        <v>277.41389111943158</v>
      </c>
      <c r="H1055" s="19">
        <v>292.15091797403494</v>
      </c>
      <c r="I1055" s="19">
        <v>320.21779756242069</v>
      </c>
      <c r="J1055" s="19">
        <v>331.44630591660979</v>
      </c>
      <c r="K1055" s="19">
        <v>355.43768237412797</v>
      </c>
      <c r="L1055" s="19">
        <v>428.0506353481411</v>
      </c>
    </row>
    <row r="1056" spans="1:12">
      <c r="A1056" s="19">
        <v>240.61915963368926</v>
      </c>
      <c r="B1056" s="19">
        <v>277.75602316275911</v>
      </c>
      <c r="C1056" s="19">
        <v>248.00345292564049</v>
      </c>
      <c r="D1056" s="19">
        <v>261.38065342470458</v>
      </c>
      <c r="E1056" s="19">
        <v>303.23956684989525</v>
      </c>
      <c r="F1056" s="19">
        <v>250.07653929019386</v>
      </c>
      <c r="G1056" s="19">
        <v>259.43223713129453</v>
      </c>
      <c r="H1056" s="19">
        <v>270.51741617132552</v>
      </c>
      <c r="I1056" s="19">
        <v>306.46327091695537</v>
      </c>
      <c r="J1056" s="19">
        <v>324.96338082251526</v>
      </c>
      <c r="K1056" s="19">
        <v>319.8013938380451</v>
      </c>
      <c r="L1056" s="19">
        <v>381.76217222183197</v>
      </c>
    </row>
    <row r="1057" spans="1:12">
      <c r="A1057" s="19">
        <v>242.07484247264728</v>
      </c>
      <c r="B1057" s="19">
        <v>261.5287687643484</v>
      </c>
      <c r="C1057" s="19">
        <v>235.2061788239441</v>
      </c>
      <c r="D1057" s="19">
        <v>218.34796364528981</v>
      </c>
      <c r="E1057" s="19">
        <v>257.47848774398898</v>
      </c>
      <c r="F1057" s="19">
        <v>244.36944221054944</v>
      </c>
      <c r="G1057" s="19">
        <v>247.81518569448133</v>
      </c>
      <c r="H1057" s="19">
        <v>237.48782642114548</v>
      </c>
      <c r="I1057" s="19">
        <v>258.08676969213974</v>
      </c>
      <c r="J1057" s="19">
        <v>266.47876872399956</v>
      </c>
      <c r="K1057" s="19">
        <v>282.52610243905389</v>
      </c>
      <c r="L1057" s="19">
        <v>333.52810557804827</v>
      </c>
    </row>
    <row r="1058" spans="1:12">
      <c r="A1058" s="19">
        <v>239.29355810613882</v>
      </c>
      <c r="B1058" s="19">
        <v>252.22308821115283</v>
      </c>
      <c r="C1058" s="19">
        <v>231.3474082775802</v>
      </c>
      <c r="D1058" s="19">
        <v>215.55627567759873</v>
      </c>
      <c r="E1058" s="19">
        <v>272.93555608002811</v>
      </c>
      <c r="F1058" s="19">
        <v>216.9939408408203</v>
      </c>
      <c r="G1058" s="19">
        <v>255.5305444427245</v>
      </c>
      <c r="H1058" s="19">
        <v>240.72155570422856</v>
      </c>
      <c r="I1058" s="19">
        <v>286.08312025193931</v>
      </c>
      <c r="J1058" s="19">
        <v>285.46776921834521</v>
      </c>
      <c r="K1058" s="19">
        <v>299.79997101815042</v>
      </c>
      <c r="L1058" s="19">
        <v>355.39438792897823</v>
      </c>
    </row>
    <row r="1059" spans="1:12">
      <c r="A1059" s="19">
        <v>234.7659068964889</v>
      </c>
      <c r="B1059" s="19">
        <v>252.78074537383961</v>
      </c>
      <c r="C1059" s="19">
        <v>251.23001362866688</v>
      </c>
      <c r="D1059" s="19">
        <v>244.15869934868098</v>
      </c>
      <c r="E1059" s="19">
        <v>282.41498481415948</v>
      </c>
      <c r="F1059" s="19">
        <v>246.53291283865767</v>
      </c>
      <c r="G1059" s="19">
        <v>254.31395431110846</v>
      </c>
      <c r="H1059" s="19">
        <v>258.95130290954063</v>
      </c>
      <c r="I1059" s="19">
        <v>278.89950616218925</v>
      </c>
      <c r="J1059" s="19">
        <v>306.72819782275866</v>
      </c>
      <c r="K1059" s="19">
        <v>307.60387426243341</v>
      </c>
      <c r="L1059" s="19">
        <v>359.71719896968881</v>
      </c>
    </row>
    <row r="1060" spans="1:12">
      <c r="A1060" s="19">
        <v>237.98145991459799</v>
      </c>
      <c r="B1060" s="19">
        <v>273.51220434499862</v>
      </c>
      <c r="C1060" s="19">
        <v>250.07393455920035</v>
      </c>
      <c r="D1060" s="19">
        <v>241.53957790637179</v>
      </c>
      <c r="E1060" s="19">
        <v>282.54266468915392</v>
      </c>
      <c r="F1060" s="19">
        <v>253.12123224178677</v>
      </c>
      <c r="G1060" s="19">
        <v>255.26094602749416</v>
      </c>
      <c r="H1060" s="19">
        <v>272.48945205445199</v>
      </c>
      <c r="I1060" s="19">
        <v>300.1688462546291</v>
      </c>
      <c r="J1060" s="19">
        <v>310.70530998370145</v>
      </c>
      <c r="K1060" s="19">
        <v>332.78121466034759</v>
      </c>
      <c r="L1060" s="19">
        <v>378.822157169837</v>
      </c>
    </row>
    <row r="1061" spans="1:12">
      <c r="A1061" s="19">
        <v>232.41414504340048</v>
      </c>
      <c r="B1061" s="19">
        <v>267.89508925799362</v>
      </c>
      <c r="C1061" s="19">
        <v>229.0589127921038</v>
      </c>
      <c r="D1061" s="19">
        <v>240.37811851928487</v>
      </c>
      <c r="E1061" s="19">
        <v>268.38384203905525</v>
      </c>
      <c r="F1061" s="19">
        <v>238.04633474726998</v>
      </c>
      <c r="G1061" s="19">
        <v>247.81314948892879</v>
      </c>
      <c r="H1061" s="19">
        <v>264.92268083244045</v>
      </c>
      <c r="I1061" s="19">
        <v>284.58895451159128</v>
      </c>
      <c r="J1061" s="19">
        <v>296.55554826908275</v>
      </c>
      <c r="K1061" s="19">
        <v>338.94260326754966</v>
      </c>
      <c r="L1061" s="19">
        <v>373.76629223322215</v>
      </c>
    </row>
    <row r="1062" spans="1:12">
      <c r="A1062" s="19">
        <v>240.05222204143362</v>
      </c>
      <c r="B1062" s="19">
        <v>237.91640812474191</v>
      </c>
      <c r="C1062" s="19">
        <v>234.01345981003399</v>
      </c>
      <c r="D1062" s="19">
        <v>239.99769354826162</v>
      </c>
      <c r="E1062" s="19">
        <v>262.15609724706837</v>
      </c>
      <c r="F1062" s="19">
        <v>235.14354012789124</v>
      </c>
      <c r="G1062" s="19">
        <v>225.67419274212151</v>
      </c>
      <c r="H1062" s="19">
        <v>235.66457834219972</v>
      </c>
      <c r="I1062" s="19">
        <v>241.9381503465749</v>
      </c>
      <c r="J1062" s="19">
        <v>259.00159801076472</v>
      </c>
      <c r="K1062" s="19">
        <v>266.64259131208178</v>
      </c>
      <c r="L1062" s="19">
        <v>310.85400498825254</v>
      </c>
    </row>
    <row r="1063" spans="1:12">
      <c r="A1063" s="19">
        <v>224.90809694359245</v>
      </c>
      <c r="B1063" s="19">
        <v>263.41512265840407</v>
      </c>
      <c r="C1063" s="19">
        <v>240.23934413022562</v>
      </c>
      <c r="D1063" s="19">
        <v>245.07957083419166</v>
      </c>
      <c r="E1063" s="19">
        <v>283.49512900781303</v>
      </c>
      <c r="F1063" s="19">
        <v>242.65005463883435</v>
      </c>
      <c r="G1063" s="19">
        <v>238.31238908029459</v>
      </c>
      <c r="H1063" s="19">
        <v>258.41910561058205</v>
      </c>
      <c r="I1063" s="19">
        <v>282.62221310955488</v>
      </c>
      <c r="J1063" s="19">
        <v>288.42572060314876</v>
      </c>
      <c r="K1063" s="19">
        <v>294.48596830834748</v>
      </c>
      <c r="L1063" s="19">
        <v>339.40683394505322</v>
      </c>
    </row>
    <row r="1064" spans="1:12">
      <c r="A1064" s="19">
        <v>251.32876534817643</v>
      </c>
      <c r="B1064" s="19">
        <v>254.40785899798337</v>
      </c>
      <c r="C1064" s="19">
        <v>238.36034628168122</v>
      </c>
      <c r="D1064" s="19">
        <v>238.79714323280166</v>
      </c>
      <c r="E1064" s="19">
        <v>287.51958085812117</v>
      </c>
      <c r="F1064" s="19">
        <v>248.60250656769233</v>
      </c>
      <c r="G1064" s="19">
        <v>255.4797315493947</v>
      </c>
      <c r="H1064" s="19">
        <v>259.00651723835421</v>
      </c>
      <c r="I1064" s="19">
        <v>283.22416884183917</v>
      </c>
      <c r="J1064" s="19">
        <v>297.07106327996922</v>
      </c>
      <c r="K1064" s="19">
        <v>313.73640992720487</v>
      </c>
      <c r="L1064" s="19">
        <v>358.09290194060577</v>
      </c>
    </row>
    <row r="1065" spans="1:12">
      <c r="A1065" s="19">
        <v>248.27195989388559</v>
      </c>
      <c r="B1065" s="19">
        <v>271.73037983138568</v>
      </c>
      <c r="C1065" s="19">
        <v>237.29340123382923</v>
      </c>
      <c r="D1065" s="19">
        <v>232.17818371900773</v>
      </c>
      <c r="E1065" s="19">
        <v>284.92530418673516</v>
      </c>
      <c r="F1065" s="19">
        <v>245.25111819602728</v>
      </c>
      <c r="G1065" s="19">
        <v>257.28809285746257</v>
      </c>
      <c r="H1065" s="19">
        <v>258.27785712553066</v>
      </c>
      <c r="I1065" s="19">
        <v>287.36466247382003</v>
      </c>
      <c r="J1065" s="19">
        <v>291.21942383361591</v>
      </c>
      <c r="K1065" s="19">
        <v>310.22965141861545</v>
      </c>
      <c r="L1065" s="19">
        <v>373.45703065929018</v>
      </c>
    </row>
    <row r="1066" spans="1:12">
      <c r="A1066" s="19">
        <v>247.99751787791217</v>
      </c>
      <c r="B1066" s="19">
        <v>286.2325565916189</v>
      </c>
      <c r="C1066" s="19">
        <v>238.79573149392442</v>
      </c>
      <c r="D1066" s="19">
        <v>245.49664328974092</v>
      </c>
      <c r="E1066" s="19">
        <v>297.58998371172578</v>
      </c>
      <c r="F1066" s="19">
        <v>268.20301480152978</v>
      </c>
      <c r="G1066" s="19">
        <v>288.84824256429698</v>
      </c>
      <c r="H1066" s="19">
        <v>293.36141029479495</v>
      </c>
      <c r="I1066" s="19">
        <v>310.46103469001952</v>
      </c>
      <c r="J1066" s="19">
        <v>337.06108417234873</v>
      </c>
      <c r="K1066" s="19">
        <v>367.14130302107981</v>
      </c>
      <c r="L1066" s="19">
        <v>426.55636125704558</v>
      </c>
    </row>
    <row r="1067" spans="1:12">
      <c r="A1067" s="19">
        <v>242.73665384531603</v>
      </c>
      <c r="B1067" s="19">
        <v>248.38445105148205</v>
      </c>
      <c r="C1067" s="19">
        <v>233.95899941963464</v>
      </c>
      <c r="D1067" s="19">
        <v>234.45423920836356</v>
      </c>
      <c r="E1067" s="19">
        <v>271.67124094143242</v>
      </c>
      <c r="F1067" s="19">
        <v>256.33970037216295</v>
      </c>
      <c r="G1067" s="19">
        <v>248.84976094990827</v>
      </c>
      <c r="H1067" s="19">
        <v>267.34404137669617</v>
      </c>
      <c r="I1067" s="19">
        <v>273.83526791245271</v>
      </c>
      <c r="J1067" s="19">
        <v>274.71135861058508</v>
      </c>
      <c r="K1067" s="19">
        <v>299.68210904773275</v>
      </c>
      <c r="L1067" s="19">
        <v>346.41848844922634</v>
      </c>
    </row>
    <row r="1068" spans="1:12">
      <c r="A1068" s="19">
        <v>264.00314594228342</v>
      </c>
      <c r="B1068" s="19">
        <v>283.71966073328457</v>
      </c>
      <c r="C1068" s="19">
        <v>230.68076030555838</v>
      </c>
      <c r="D1068" s="19">
        <v>222.13411482406272</v>
      </c>
      <c r="E1068" s="19">
        <v>284.6954161372139</v>
      </c>
      <c r="F1068" s="19">
        <v>229.66176608816892</v>
      </c>
      <c r="G1068" s="19">
        <v>236.05468482010266</v>
      </c>
      <c r="H1068" s="19">
        <v>236.54335137415831</v>
      </c>
      <c r="I1068" s="19">
        <v>251.56961947113959</v>
      </c>
      <c r="J1068" s="19">
        <v>252.26362860640037</v>
      </c>
      <c r="K1068" s="19">
        <v>274.72361550927053</v>
      </c>
      <c r="L1068" s="19">
        <v>320.10673498687805</v>
      </c>
    </row>
    <row r="1069" spans="1:12">
      <c r="A1069" s="19">
        <v>250.95322442375922</v>
      </c>
      <c r="B1069" s="19">
        <v>261.64012204257227</v>
      </c>
      <c r="C1069" s="19">
        <v>235.65109619050375</v>
      </c>
      <c r="D1069" s="19">
        <v>238.43852850409039</v>
      </c>
      <c r="E1069" s="19">
        <v>289.24960446709122</v>
      </c>
      <c r="F1069" s="19">
        <v>237.90946490367836</v>
      </c>
      <c r="G1069" s="19">
        <v>235.0197082767308</v>
      </c>
      <c r="H1069" s="19">
        <v>250.87784101303333</v>
      </c>
      <c r="I1069" s="19">
        <v>260.51679896510473</v>
      </c>
      <c r="J1069" s="19">
        <v>270.29670513438037</v>
      </c>
      <c r="K1069" s="19">
        <v>305.43692039729859</v>
      </c>
      <c r="L1069" s="19">
        <v>352.30586177643642</v>
      </c>
    </row>
    <row r="1070" spans="1:12">
      <c r="A1070" s="19">
        <v>249.99323987818147</v>
      </c>
      <c r="B1070" s="19">
        <v>257.74995732360895</v>
      </c>
      <c r="C1070" s="19">
        <v>248.17583809192939</v>
      </c>
      <c r="D1070" s="19">
        <v>241.25202033590583</v>
      </c>
      <c r="E1070" s="19">
        <v>287.37962852406747</v>
      </c>
      <c r="F1070" s="19">
        <v>273.71851713913679</v>
      </c>
      <c r="G1070" s="19">
        <v>278.0549959496168</v>
      </c>
      <c r="H1070" s="19">
        <v>279.83985576721005</v>
      </c>
      <c r="I1070" s="19">
        <v>302.85519053259691</v>
      </c>
      <c r="J1070" s="19">
        <v>332.68926685838773</v>
      </c>
      <c r="K1070" s="19">
        <v>367.37136261199566</v>
      </c>
      <c r="L1070" s="19">
        <v>411.53534284502138</v>
      </c>
    </row>
    <row r="1071" spans="1:12">
      <c r="A1071" s="19">
        <v>240.66665325616196</v>
      </c>
      <c r="B1071" s="19">
        <v>266.62148571401372</v>
      </c>
      <c r="C1071" s="19">
        <v>249.04885823028684</v>
      </c>
      <c r="D1071" s="19">
        <v>243.64535990690868</v>
      </c>
      <c r="E1071" s="19">
        <v>280.22503854336492</v>
      </c>
      <c r="F1071" s="19">
        <v>263.23609588896369</v>
      </c>
      <c r="G1071" s="19">
        <v>291.01879793596135</v>
      </c>
      <c r="H1071" s="19">
        <v>260.37565873515325</v>
      </c>
      <c r="I1071" s="19">
        <v>304.69908502941308</v>
      </c>
      <c r="J1071" s="19">
        <v>323.31137389134437</v>
      </c>
      <c r="K1071" s="19">
        <v>328.76792866827884</v>
      </c>
      <c r="L1071" s="19">
        <v>408.34921446217032</v>
      </c>
    </row>
    <row r="1072" spans="1:12">
      <c r="A1072" s="19">
        <v>239.81287103226063</v>
      </c>
      <c r="B1072" s="19">
        <v>236.73651400148177</v>
      </c>
      <c r="C1072" s="19">
        <v>222.95519036395117</v>
      </c>
      <c r="D1072" s="19">
        <v>233.69710043149186</v>
      </c>
      <c r="E1072" s="19">
        <v>258.97849107444074</v>
      </c>
      <c r="F1072" s="19">
        <v>211.56601475079816</v>
      </c>
      <c r="G1072" s="19">
        <v>227.16534160905891</v>
      </c>
      <c r="H1072" s="19">
        <v>218.90061785377864</v>
      </c>
      <c r="I1072" s="19">
        <v>250.100859240213</v>
      </c>
      <c r="J1072" s="19">
        <v>241.86903823806796</v>
      </c>
      <c r="K1072" s="19">
        <v>247.72531687899397</v>
      </c>
      <c r="L1072" s="19">
        <v>270.00437127690884</v>
      </c>
    </row>
    <row r="1073" spans="1:12">
      <c r="A1073" s="19">
        <v>234.84498907380205</v>
      </c>
      <c r="B1073" s="19">
        <v>266.2666654080208</v>
      </c>
      <c r="C1073" s="19">
        <v>233.84976848299229</v>
      </c>
      <c r="D1073" s="19">
        <v>242.12201820180402</v>
      </c>
      <c r="E1073" s="19">
        <v>263.47090928062585</v>
      </c>
      <c r="F1073" s="19">
        <v>246.53499421583169</v>
      </c>
      <c r="G1073" s="19">
        <v>239.65627434145114</v>
      </c>
      <c r="H1073" s="19">
        <v>264.72376243815341</v>
      </c>
      <c r="I1073" s="19">
        <v>261.39057408644931</v>
      </c>
      <c r="J1073" s="19">
        <v>301.84744203918791</v>
      </c>
      <c r="K1073" s="19">
        <v>308.67615744592126</v>
      </c>
      <c r="L1073" s="19">
        <v>344.98933944740179</v>
      </c>
    </row>
    <row r="1074" spans="1:12">
      <c r="A1074" s="19">
        <v>243.08981886427409</v>
      </c>
      <c r="B1074" s="19">
        <v>270.88428484762693</v>
      </c>
      <c r="C1074" s="19">
        <v>246.98675817205992</v>
      </c>
      <c r="D1074" s="19">
        <v>242.77900960353608</v>
      </c>
      <c r="E1074" s="19">
        <v>294.98322039619376</v>
      </c>
      <c r="F1074" s="19">
        <v>258.16464176623822</v>
      </c>
      <c r="G1074" s="19">
        <v>257.19914049287496</v>
      </c>
      <c r="H1074" s="19">
        <v>276.39336358738632</v>
      </c>
      <c r="I1074" s="19">
        <v>284.12262657561075</v>
      </c>
      <c r="J1074" s="19">
        <v>333.94735414555873</v>
      </c>
      <c r="K1074" s="19">
        <v>338.71412127413612</v>
      </c>
      <c r="L1074" s="19">
        <v>406.71673800991005</v>
      </c>
    </row>
    <row r="1075" spans="1:12">
      <c r="A1075" s="19">
        <v>231.50953991254124</v>
      </c>
      <c r="B1075" s="19">
        <v>263.30802548230628</v>
      </c>
      <c r="C1075" s="19">
        <v>243.53382251122838</v>
      </c>
      <c r="D1075" s="19">
        <v>242.25468018050725</v>
      </c>
      <c r="E1075" s="19">
        <v>291.76302796698894</v>
      </c>
      <c r="F1075" s="19">
        <v>255.51680071787285</v>
      </c>
      <c r="G1075" s="19">
        <v>241.31484621434006</v>
      </c>
      <c r="H1075" s="19">
        <v>264.14836088414859</v>
      </c>
      <c r="I1075" s="19">
        <v>300.58442383684439</v>
      </c>
      <c r="J1075" s="19">
        <v>319.31702810266222</v>
      </c>
      <c r="K1075" s="19">
        <v>320.85326009666966</v>
      </c>
      <c r="L1075" s="19">
        <v>379.1217087165461</v>
      </c>
    </row>
    <row r="1076" spans="1:12">
      <c r="A1076" s="19">
        <v>248.63033020634984</v>
      </c>
      <c r="B1076" s="19">
        <v>265.05122010193071</v>
      </c>
      <c r="C1076" s="19">
        <v>250.38455889322097</v>
      </c>
      <c r="D1076" s="19">
        <v>237.54816867129179</v>
      </c>
      <c r="E1076" s="19">
        <v>285.49087250319383</v>
      </c>
      <c r="F1076" s="19">
        <v>272.18442789727948</v>
      </c>
      <c r="G1076" s="19">
        <v>261.67403766224686</v>
      </c>
      <c r="H1076" s="19">
        <v>275.41863118757385</v>
      </c>
      <c r="I1076" s="19">
        <v>318.23873732714958</v>
      </c>
      <c r="J1076" s="19">
        <v>346.35644015076593</v>
      </c>
      <c r="K1076" s="19">
        <v>357.35586964393849</v>
      </c>
      <c r="L1076" s="19">
        <v>432.1219694871192</v>
      </c>
    </row>
    <row r="1077" spans="1:12">
      <c r="A1077" s="19">
        <v>245.36777788304312</v>
      </c>
      <c r="B1077" s="19">
        <v>279.27521867235805</v>
      </c>
      <c r="C1077" s="19">
        <v>226.75704071357956</v>
      </c>
      <c r="D1077" s="19">
        <v>239.7275381118946</v>
      </c>
      <c r="E1077" s="19">
        <v>297.62925789286317</v>
      </c>
      <c r="F1077" s="19">
        <v>263.56157832943313</v>
      </c>
      <c r="G1077" s="19">
        <v>270.74217848017571</v>
      </c>
      <c r="H1077" s="19">
        <v>265.90882279699849</v>
      </c>
      <c r="I1077" s="19">
        <v>301.18085163551285</v>
      </c>
      <c r="J1077" s="19">
        <v>322.22158286656838</v>
      </c>
      <c r="K1077" s="19">
        <v>350.52041476763725</v>
      </c>
      <c r="L1077" s="19">
        <v>390.54147336599374</v>
      </c>
    </row>
    <row r="1078" spans="1:12">
      <c r="A1078" s="19">
        <v>239.34291541569942</v>
      </c>
      <c r="B1078" s="19">
        <v>273.04977000714842</v>
      </c>
      <c r="C1078" s="19">
        <v>227.36216531496854</v>
      </c>
      <c r="D1078" s="19">
        <v>210.87005155553885</v>
      </c>
      <c r="E1078" s="19">
        <v>247.80842299833327</v>
      </c>
      <c r="F1078" s="19">
        <v>225.05769563861264</v>
      </c>
      <c r="G1078" s="19">
        <v>250.17863290957436</v>
      </c>
      <c r="H1078" s="19">
        <v>224.99628731312421</v>
      </c>
      <c r="I1078" s="19">
        <v>237.53733685785593</v>
      </c>
      <c r="J1078" s="19">
        <v>252.46049653628964</v>
      </c>
      <c r="K1078" s="19">
        <v>267.087242150289</v>
      </c>
      <c r="L1078" s="19">
        <v>297.33740208449882</v>
      </c>
    </row>
    <row r="1079" spans="1:12">
      <c r="A1079" s="19">
        <v>233.29448212131535</v>
      </c>
      <c r="B1079" s="19">
        <v>264.64528507854578</v>
      </c>
      <c r="C1079" s="19">
        <v>244.0690638217346</v>
      </c>
      <c r="D1079" s="19">
        <v>235.31673920423486</v>
      </c>
      <c r="E1079" s="19">
        <v>284.95048619983885</v>
      </c>
      <c r="F1079" s="19">
        <v>247.0257321166614</v>
      </c>
      <c r="G1079" s="19">
        <v>229.09883383289022</v>
      </c>
      <c r="H1079" s="19">
        <v>247.13392113511409</v>
      </c>
      <c r="I1079" s="19">
        <v>255.85799484086874</v>
      </c>
      <c r="J1079" s="19">
        <v>286.81958200451771</v>
      </c>
      <c r="K1079" s="19">
        <v>284.89315652453712</v>
      </c>
      <c r="L1079" s="19">
        <v>341.65996977717077</v>
      </c>
    </row>
    <row r="1080" spans="1:12">
      <c r="A1080" s="19">
        <v>252.72592036182243</v>
      </c>
      <c r="B1080" s="19">
        <v>265.27667667739257</v>
      </c>
      <c r="C1080" s="19">
        <v>250.83335998893631</v>
      </c>
      <c r="D1080" s="19">
        <v>246.78250049059355</v>
      </c>
      <c r="E1080" s="19">
        <v>284.57512835986194</v>
      </c>
      <c r="F1080" s="19">
        <v>240.84278232279851</v>
      </c>
      <c r="G1080" s="19">
        <v>270.07692242938356</v>
      </c>
      <c r="H1080" s="19">
        <v>283.44217194867412</v>
      </c>
      <c r="I1080" s="19">
        <v>297.12168510284039</v>
      </c>
      <c r="J1080" s="19">
        <v>320.60931509510027</v>
      </c>
      <c r="K1080" s="19">
        <v>339.01110129764038</v>
      </c>
      <c r="L1080" s="19">
        <v>380.42149123143673</v>
      </c>
    </row>
    <row r="1081" spans="1:12">
      <c r="A1081" s="19">
        <v>235.99513636732561</v>
      </c>
      <c r="B1081" s="19">
        <v>268.24645960615226</v>
      </c>
      <c r="C1081" s="19">
        <v>247.01210295807638</v>
      </c>
      <c r="D1081" s="19">
        <v>243.57650221436839</v>
      </c>
      <c r="E1081" s="19">
        <v>282.58790451219971</v>
      </c>
      <c r="F1081" s="19">
        <v>235.28842575917412</v>
      </c>
      <c r="G1081" s="19">
        <v>257.34112873318821</v>
      </c>
      <c r="H1081" s="19">
        <v>268.01427392943168</v>
      </c>
      <c r="I1081" s="19">
        <v>285.60436185229662</v>
      </c>
      <c r="J1081" s="19">
        <v>293.03164150370401</v>
      </c>
      <c r="K1081" s="19">
        <v>302.94584951477992</v>
      </c>
      <c r="L1081" s="19">
        <v>356.85084872117301</v>
      </c>
    </row>
    <row r="1082" spans="1:12">
      <c r="A1082" s="19">
        <v>257.47351722145106</v>
      </c>
      <c r="B1082" s="19">
        <v>252.27275210542055</v>
      </c>
      <c r="C1082" s="19">
        <v>235.91295444320551</v>
      </c>
      <c r="D1082" s="19">
        <v>239.40582022589382</v>
      </c>
      <c r="E1082" s="19">
        <v>276.22010160471183</v>
      </c>
      <c r="F1082" s="19">
        <v>259.31002934885277</v>
      </c>
      <c r="G1082" s="19">
        <v>253.52040141885607</v>
      </c>
      <c r="H1082" s="19">
        <v>263.70148836998345</v>
      </c>
      <c r="I1082" s="19">
        <v>277.28594954915712</v>
      </c>
      <c r="J1082" s="19">
        <v>285.44457404914044</v>
      </c>
      <c r="K1082" s="19">
        <v>294.77624588504494</v>
      </c>
      <c r="L1082" s="19">
        <v>357.07719174496566</v>
      </c>
    </row>
    <row r="1083" spans="1:12">
      <c r="A1083" s="19">
        <v>256.71238582042741</v>
      </c>
      <c r="B1083" s="19">
        <v>253.68483843211328</v>
      </c>
      <c r="C1083" s="19">
        <v>233.70457638782702</v>
      </c>
      <c r="D1083" s="19">
        <v>248.90456904797654</v>
      </c>
      <c r="E1083" s="19">
        <v>260.40120029178746</v>
      </c>
      <c r="F1083" s="19">
        <v>230.11330951310288</v>
      </c>
      <c r="G1083" s="19">
        <v>254.98176074746024</v>
      </c>
      <c r="H1083" s="19">
        <v>259.90789826928119</v>
      </c>
      <c r="I1083" s="19">
        <v>272.34367108899738</v>
      </c>
      <c r="J1083" s="19">
        <v>283.08214234491857</v>
      </c>
      <c r="K1083" s="19">
        <v>292.05881610221849</v>
      </c>
      <c r="L1083" s="19">
        <v>332.51953994287953</v>
      </c>
    </row>
    <row r="1084" spans="1:12">
      <c r="A1084" s="19">
        <v>260.55825703508248</v>
      </c>
      <c r="B1084" s="19">
        <v>249.09791311420119</v>
      </c>
      <c r="C1084" s="19">
        <v>219.21677584574832</v>
      </c>
      <c r="D1084" s="19">
        <v>244.8131034148696</v>
      </c>
      <c r="E1084" s="19">
        <v>269.23551755672423</v>
      </c>
      <c r="F1084" s="19">
        <v>242.17433984837638</v>
      </c>
      <c r="G1084" s="19">
        <v>251.63011991684138</v>
      </c>
      <c r="H1084" s="19">
        <v>248.38879432026604</v>
      </c>
      <c r="I1084" s="19">
        <v>269.58259956669372</v>
      </c>
      <c r="J1084" s="19">
        <v>294.64023273294532</v>
      </c>
      <c r="K1084" s="19">
        <v>303.55988196827792</v>
      </c>
      <c r="L1084" s="19">
        <v>348.93473316537779</v>
      </c>
    </row>
    <row r="1085" spans="1:12">
      <c r="A1085" s="19">
        <v>250.60252369691426</v>
      </c>
      <c r="B1085" s="19">
        <v>283.40501175474009</v>
      </c>
      <c r="C1085" s="19">
        <v>238.98089903037175</v>
      </c>
      <c r="D1085" s="19">
        <v>233.86737563253823</v>
      </c>
      <c r="E1085" s="19">
        <v>274.90764076339173</v>
      </c>
      <c r="F1085" s="19">
        <v>243.79096106118388</v>
      </c>
      <c r="G1085" s="19">
        <v>256.29891827233604</v>
      </c>
      <c r="H1085" s="19">
        <v>262.87669445105854</v>
      </c>
      <c r="I1085" s="19">
        <v>265.60314142044513</v>
      </c>
      <c r="J1085" s="19">
        <v>269.08423406645647</v>
      </c>
      <c r="K1085" s="19">
        <v>299.92104504669197</v>
      </c>
      <c r="L1085" s="19">
        <v>344.28472387948301</v>
      </c>
    </row>
    <row r="1086" spans="1:12">
      <c r="A1086" s="19">
        <v>249.27543379998556</v>
      </c>
      <c r="B1086" s="19">
        <v>263.96986921332831</v>
      </c>
      <c r="C1086" s="19">
        <v>250.91421938981392</v>
      </c>
      <c r="D1086" s="19">
        <v>260.25354957792996</v>
      </c>
      <c r="E1086" s="19">
        <v>297.72767444569109</v>
      </c>
      <c r="F1086" s="19">
        <v>262.92262760874485</v>
      </c>
      <c r="G1086" s="19">
        <v>287.19166739848788</v>
      </c>
      <c r="H1086" s="19">
        <v>293.93203309303715</v>
      </c>
      <c r="I1086" s="19">
        <v>311.4399583699103</v>
      </c>
      <c r="J1086" s="19">
        <v>328.27853816629477</v>
      </c>
      <c r="K1086" s="19">
        <v>347.3888860173364</v>
      </c>
      <c r="L1086" s="19">
        <v>433.59095880023466</v>
      </c>
    </row>
    <row r="1087" spans="1:12">
      <c r="A1087" s="19">
        <v>260.07315387556531</v>
      </c>
      <c r="B1087" s="19">
        <v>265.71418735558342</v>
      </c>
      <c r="C1087" s="19">
        <v>259.66235173398576</v>
      </c>
      <c r="D1087" s="19">
        <v>261.68466371463779</v>
      </c>
      <c r="E1087" s="19">
        <v>304.86309261938885</v>
      </c>
      <c r="F1087" s="19">
        <v>282.73648335567168</v>
      </c>
      <c r="G1087" s="19">
        <v>281.56572002074512</v>
      </c>
      <c r="H1087" s="19">
        <v>295.48509445252495</v>
      </c>
      <c r="I1087" s="19">
        <v>325.72225249842211</v>
      </c>
      <c r="J1087" s="19">
        <v>351.34565580736518</v>
      </c>
      <c r="K1087" s="19">
        <v>392.42401041691107</v>
      </c>
      <c r="L1087" s="19">
        <v>448.33032961068767</v>
      </c>
    </row>
    <row r="1088" spans="1:12">
      <c r="A1088" s="19">
        <v>228.31883030622021</v>
      </c>
      <c r="B1088" s="19">
        <v>256.56675870846522</v>
      </c>
      <c r="C1088" s="19">
        <v>230.16299569373621</v>
      </c>
      <c r="D1088" s="19">
        <v>233.91032400149314</v>
      </c>
      <c r="E1088" s="19">
        <v>258.40581969265821</v>
      </c>
      <c r="F1088" s="19">
        <v>247.86894063477649</v>
      </c>
      <c r="G1088" s="19">
        <v>239.1935500419776</v>
      </c>
      <c r="H1088" s="19">
        <v>237.73356678463639</v>
      </c>
      <c r="I1088" s="19">
        <v>251.37603530714875</v>
      </c>
      <c r="J1088" s="19">
        <v>258.07052474944209</v>
      </c>
      <c r="K1088" s="19">
        <v>280.23343520577328</v>
      </c>
      <c r="L1088" s="19">
        <v>332.9458701793489</v>
      </c>
    </row>
    <row r="1089" spans="1:12">
      <c r="A1089" s="19">
        <v>257.17149666043491</v>
      </c>
      <c r="B1089" s="19">
        <v>250.54828430764908</v>
      </c>
      <c r="C1089" s="19">
        <v>219.8817853026793</v>
      </c>
      <c r="D1089" s="19">
        <v>233.16645360689495</v>
      </c>
      <c r="E1089" s="19">
        <v>265.86368147854841</v>
      </c>
      <c r="F1089" s="19">
        <v>219.32369140350005</v>
      </c>
      <c r="G1089" s="19">
        <v>244.71591649146677</v>
      </c>
      <c r="H1089" s="19">
        <v>253.34775219377877</v>
      </c>
      <c r="I1089" s="19">
        <v>268.0594437611793</v>
      </c>
      <c r="J1089" s="19">
        <v>264.87249209612276</v>
      </c>
      <c r="K1089" s="19">
        <v>292.10092684937882</v>
      </c>
      <c r="L1089" s="19">
        <v>323.7900985052018</v>
      </c>
    </row>
    <row r="1090" spans="1:12">
      <c r="A1090" s="19">
        <v>244.99032076261159</v>
      </c>
      <c r="B1090" s="19">
        <v>261.97725808882876</v>
      </c>
      <c r="C1090" s="19">
        <v>251.64719322853523</v>
      </c>
      <c r="D1090" s="19">
        <v>238.16927655339938</v>
      </c>
      <c r="E1090" s="19">
        <v>296.93197777095827</v>
      </c>
      <c r="F1090" s="19">
        <v>258.2115164474701</v>
      </c>
      <c r="G1090" s="19">
        <v>271.69085091850866</v>
      </c>
      <c r="H1090" s="19">
        <v>262.82270045828653</v>
      </c>
      <c r="I1090" s="19">
        <v>294.63775779501833</v>
      </c>
      <c r="J1090" s="19">
        <v>310.15621064484515</v>
      </c>
      <c r="K1090" s="19">
        <v>332.71776985888482</v>
      </c>
      <c r="L1090" s="19">
        <v>383.37560116410947</v>
      </c>
    </row>
    <row r="1091" spans="1:12">
      <c r="A1091" s="19">
        <v>242.65995919799784</v>
      </c>
      <c r="B1091" s="19">
        <v>251.77148648818559</v>
      </c>
      <c r="C1091" s="19">
        <v>237.9120029811144</v>
      </c>
      <c r="D1091" s="19">
        <v>221.4176976832932</v>
      </c>
      <c r="E1091" s="19">
        <v>273.11269780088003</v>
      </c>
      <c r="F1091" s="19">
        <v>225.07049032080073</v>
      </c>
      <c r="G1091" s="19">
        <v>246.02117405193127</v>
      </c>
      <c r="H1091" s="19">
        <v>240.94043804063281</v>
      </c>
      <c r="I1091" s="19">
        <v>274.02254700343667</v>
      </c>
      <c r="J1091" s="19">
        <v>270.05447437063572</v>
      </c>
      <c r="K1091" s="19">
        <v>282.54869476513664</v>
      </c>
      <c r="L1091" s="19">
        <v>333.08606148072602</v>
      </c>
    </row>
    <row r="1092" spans="1:12">
      <c r="A1092" s="19">
        <v>248.99078522150904</v>
      </c>
      <c r="B1092" s="19">
        <v>261.97749733401594</v>
      </c>
      <c r="C1092" s="19">
        <v>230.74447032351688</v>
      </c>
      <c r="D1092" s="19">
        <v>237.08376609497697</v>
      </c>
      <c r="E1092" s="19">
        <v>277.46452792579061</v>
      </c>
      <c r="F1092" s="19">
        <v>250.81550128897771</v>
      </c>
      <c r="G1092" s="19">
        <v>255.03268038371763</v>
      </c>
      <c r="H1092" s="19">
        <v>247.65690761725361</v>
      </c>
      <c r="I1092" s="19">
        <v>283.55381720135534</v>
      </c>
      <c r="J1092" s="19">
        <v>293.48998745487256</v>
      </c>
      <c r="K1092" s="19">
        <v>293.5333157541902</v>
      </c>
      <c r="L1092" s="19">
        <v>354.88233826170239</v>
      </c>
    </row>
    <row r="1093" spans="1:12">
      <c r="A1093" s="19">
        <v>254.28317143577499</v>
      </c>
      <c r="B1093" s="19">
        <v>281.98205056033493</v>
      </c>
      <c r="C1093" s="19">
        <v>244.08209854029801</v>
      </c>
      <c r="D1093" s="19">
        <v>240.96407940130203</v>
      </c>
      <c r="E1093" s="19">
        <v>263.40292968276123</v>
      </c>
      <c r="F1093" s="19">
        <v>255.21786556196702</v>
      </c>
      <c r="G1093" s="19">
        <v>253.23443823679619</v>
      </c>
      <c r="H1093" s="19">
        <v>272.03213292221284</v>
      </c>
      <c r="I1093" s="19">
        <v>293.13284778378051</v>
      </c>
      <c r="J1093" s="19">
        <v>299.70706264456879</v>
      </c>
      <c r="K1093" s="19">
        <v>331.58937034692332</v>
      </c>
      <c r="L1093" s="19">
        <v>373.48778514979284</v>
      </c>
    </row>
    <row r="1094" spans="1:12">
      <c r="A1094" s="19">
        <v>237.35795570476577</v>
      </c>
      <c r="B1094" s="19">
        <v>255.39763319225642</v>
      </c>
      <c r="C1094" s="19">
        <v>237.88027008604632</v>
      </c>
      <c r="D1094" s="19">
        <v>237.04361344368249</v>
      </c>
      <c r="E1094" s="19">
        <v>291.35388825912855</v>
      </c>
      <c r="F1094" s="19">
        <v>253.52006080389495</v>
      </c>
      <c r="G1094" s="19">
        <v>249.2212352891346</v>
      </c>
      <c r="H1094" s="19">
        <v>266.74471703091854</v>
      </c>
      <c r="I1094" s="19">
        <v>294.68834452784165</v>
      </c>
      <c r="J1094" s="19">
        <v>305.16223568476283</v>
      </c>
      <c r="K1094" s="19">
        <v>328.77482200876665</v>
      </c>
      <c r="L1094" s="19">
        <v>359.41384049394986</v>
      </c>
    </row>
    <row r="1095" spans="1:12">
      <c r="A1095" s="19">
        <v>230.01182155049352</v>
      </c>
      <c r="B1095" s="19">
        <v>262.04097883084785</v>
      </c>
      <c r="C1095" s="19">
        <v>246.82456778040225</v>
      </c>
      <c r="D1095" s="19">
        <v>235.09198616565953</v>
      </c>
      <c r="E1095" s="19">
        <v>287.32139210129822</v>
      </c>
      <c r="F1095" s="19">
        <v>246.33167689045493</v>
      </c>
      <c r="G1095" s="19">
        <v>248.28128733159426</v>
      </c>
      <c r="H1095" s="19">
        <v>270.38888552341501</v>
      </c>
      <c r="I1095" s="19">
        <v>287.02563947397692</v>
      </c>
      <c r="J1095" s="19">
        <v>307.73279417536389</v>
      </c>
      <c r="K1095" s="19">
        <v>308.65722943093908</v>
      </c>
      <c r="L1095" s="19">
        <v>372.9765110671251</v>
      </c>
    </row>
    <row r="1096" spans="1:12">
      <c r="A1096" s="19">
        <v>247.44692298931088</v>
      </c>
      <c r="B1096" s="19">
        <v>250.54076083609183</v>
      </c>
      <c r="C1096" s="19">
        <v>250.48171270139292</v>
      </c>
      <c r="D1096" s="19">
        <v>230.95803907779299</v>
      </c>
      <c r="E1096" s="19">
        <v>267.74447556101785</v>
      </c>
      <c r="F1096" s="19">
        <v>246.90436429723255</v>
      </c>
      <c r="G1096" s="19">
        <v>241.14534020684891</v>
      </c>
      <c r="H1096" s="19">
        <v>259.04088925684982</v>
      </c>
      <c r="I1096" s="19">
        <v>289.65592829034921</v>
      </c>
      <c r="J1096" s="19">
        <v>291.92072159066481</v>
      </c>
      <c r="K1096" s="19">
        <v>284.90766282231874</v>
      </c>
      <c r="L1096" s="19">
        <v>367.4301480648964</v>
      </c>
    </row>
    <row r="1097" spans="1:12">
      <c r="A1097" s="19">
        <v>224.36490991654858</v>
      </c>
      <c r="B1097" s="19">
        <v>237.5028562150579</v>
      </c>
      <c r="C1097" s="19">
        <v>219.74802624832984</v>
      </c>
      <c r="D1097" s="19">
        <v>214.82997999472127</v>
      </c>
      <c r="E1097" s="19">
        <v>236.65053481264692</v>
      </c>
      <c r="F1097" s="19">
        <v>212.63616532276467</v>
      </c>
      <c r="G1097" s="19">
        <v>208.1345952546416</v>
      </c>
      <c r="H1097" s="19">
        <v>224.13393740565132</v>
      </c>
      <c r="I1097" s="19">
        <v>231.62129980415725</v>
      </c>
      <c r="J1097" s="19">
        <v>271.47499343573543</v>
      </c>
      <c r="K1097" s="19">
        <v>275.66104965469754</v>
      </c>
      <c r="L1097" s="19">
        <v>313.24483929320695</v>
      </c>
    </row>
    <row r="1098" spans="1:12">
      <c r="A1098" s="19">
        <v>249.81245213811042</v>
      </c>
      <c r="B1098" s="19">
        <v>260.74180637939793</v>
      </c>
      <c r="C1098" s="19">
        <v>226.89570679076348</v>
      </c>
      <c r="D1098" s="19">
        <v>255.85826824167194</v>
      </c>
      <c r="E1098" s="19">
        <v>272.81756530566588</v>
      </c>
      <c r="F1098" s="19">
        <v>237.93891125873174</v>
      </c>
      <c r="G1098" s="19">
        <v>241.5552345347154</v>
      </c>
      <c r="H1098" s="19">
        <v>259.77089565628637</v>
      </c>
      <c r="I1098" s="19">
        <v>277.39581285367456</v>
      </c>
      <c r="J1098" s="19">
        <v>293.40261285233197</v>
      </c>
      <c r="K1098" s="19">
        <v>299.52367844858168</v>
      </c>
      <c r="L1098" s="19">
        <v>353.91295666766825</v>
      </c>
    </row>
    <row r="1099" spans="1:12">
      <c r="A1099" s="19">
        <v>254.53524991374613</v>
      </c>
      <c r="B1099" s="19">
        <v>262.38202057413122</v>
      </c>
      <c r="C1099" s="19">
        <v>242.40181404290348</v>
      </c>
      <c r="D1099" s="19">
        <v>244.00753753500092</v>
      </c>
      <c r="E1099" s="19">
        <v>282.4189211976074</v>
      </c>
      <c r="F1099" s="19">
        <v>253.654141294369</v>
      </c>
      <c r="G1099" s="19">
        <v>259.90497150222836</v>
      </c>
      <c r="H1099" s="19">
        <v>270.77970070888142</v>
      </c>
      <c r="I1099" s="19">
        <v>293.82959460483772</v>
      </c>
      <c r="J1099" s="19">
        <v>304.48484569714088</v>
      </c>
      <c r="K1099" s="19">
        <v>302.71898240286282</v>
      </c>
      <c r="L1099" s="19">
        <v>352.87912457016643</v>
      </c>
    </row>
    <row r="1100" spans="1:12">
      <c r="A1100" s="19">
        <v>237.61760475261721</v>
      </c>
      <c r="B1100" s="19">
        <v>275.95911978179288</v>
      </c>
      <c r="C1100" s="19">
        <v>228.28692448764519</v>
      </c>
      <c r="D1100" s="19">
        <v>253.28843157697582</v>
      </c>
      <c r="E1100" s="19">
        <v>275.6845427393099</v>
      </c>
      <c r="F1100" s="19">
        <v>245.49604579777002</v>
      </c>
      <c r="G1100" s="19">
        <v>243.42618064812794</v>
      </c>
      <c r="H1100" s="19">
        <v>251.46169889385115</v>
      </c>
      <c r="I1100" s="19">
        <v>275.81809856844166</v>
      </c>
      <c r="J1100" s="19">
        <v>290.60607561645429</v>
      </c>
      <c r="K1100" s="19">
        <v>290.47871411015853</v>
      </c>
      <c r="L1100" s="19">
        <v>353.38076333321067</v>
      </c>
    </row>
    <row r="1101" spans="1:12">
      <c r="A1101" s="19">
        <v>239.22245253333972</v>
      </c>
      <c r="B1101" s="19">
        <v>248.66001475913862</v>
      </c>
      <c r="C1101" s="19">
        <v>223.61844821073842</v>
      </c>
      <c r="D1101" s="19">
        <v>220.45414966174752</v>
      </c>
      <c r="E1101" s="19">
        <v>265.17096083325282</v>
      </c>
      <c r="F1101" s="19">
        <v>234.58998604977938</v>
      </c>
      <c r="G1101" s="19">
        <v>247.55085060000866</v>
      </c>
      <c r="H1101" s="19">
        <v>255.662764694603</v>
      </c>
      <c r="I1101" s="19">
        <v>284.70965358907421</v>
      </c>
      <c r="J1101" s="19">
        <v>295.1036433883678</v>
      </c>
      <c r="K1101" s="19">
        <v>308.09153925922442</v>
      </c>
      <c r="L1101" s="19">
        <v>364.84803345145747</v>
      </c>
    </row>
    <row r="1102" spans="1:12">
      <c r="A1102" s="19">
        <v>267.95338068356494</v>
      </c>
      <c r="B1102" s="19">
        <v>251.43890079154039</v>
      </c>
      <c r="C1102" s="19">
        <v>238.10319929141644</v>
      </c>
      <c r="D1102" s="19">
        <v>243.83697630606952</v>
      </c>
      <c r="E1102" s="19">
        <v>294.15099579235698</v>
      </c>
      <c r="F1102" s="19">
        <v>260.60084517609931</v>
      </c>
      <c r="G1102" s="19">
        <v>268.65128615130851</v>
      </c>
      <c r="H1102" s="19">
        <v>286.46858650977481</v>
      </c>
      <c r="I1102" s="19">
        <v>305.98719317848759</v>
      </c>
      <c r="J1102" s="19">
        <v>337.97809368145727</v>
      </c>
      <c r="K1102" s="19">
        <v>346.22415245327215</v>
      </c>
      <c r="L1102" s="19">
        <v>402.79835271774454</v>
      </c>
    </row>
    <row r="1103" spans="1:12">
      <c r="A1103" s="19">
        <v>240.29731704302861</v>
      </c>
      <c r="B1103" s="19">
        <v>273.84889493103071</v>
      </c>
      <c r="C1103" s="19">
        <v>232.39585977917869</v>
      </c>
      <c r="D1103" s="19">
        <v>234.25775813359516</v>
      </c>
      <c r="E1103" s="19">
        <v>274.97090274625248</v>
      </c>
      <c r="F1103" s="19">
        <v>243.25684944774457</v>
      </c>
      <c r="G1103" s="19">
        <v>257.81684093952748</v>
      </c>
      <c r="H1103" s="19">
        <v>253.54595002906171</v>
      </c>
      <c r="I1103" s="19">
        <v>286.73000276451489</v>
      </c>
      <c r="J1103" s="19">
        <v>282.26290360268877</v>
      </c>
      <c r="K1103" s="19">
        <v>293.2860308497543</v>
      </c>
      <c r="L1103" s="19">
        <v>342.59934971548194</v>
      </c>
    </row>
    <row r="1104" spans="1:12">
      <c r="A1104" s="19">
        <v>230.77870318785503</v>
      </c>
      <c r="B1104" s="19">
        <v>258.34841605117003</v>
      </c>
      <c r="C1104" s="19">
        <v>220.34232170848094</v>
      </c>
      <c r="D1104" s="19">
        <v>242.154886427794</v>
      </c>
      <c r="E1104" s="19">
        <v>283.02347805624868</v>
      </c>
      <c r="F1104" s="19">
        <v>247.3285389215344</v>
      </c>
      <c r="G1104" s="19">
        <v>249.51908369491369</v>
      </c>
      <c r="H1104" s="19">
        <v>258.54435423115945</v>
      </c>
      <c r="I1104" s="19">
        <v>282.90262582024104</v>
      </c>
      <c r="J1104" s="19">
        <v>306.38983597281606</v>
      </c>
      <c r="K1104" s="19">
        <v>320.46318417481552</v>
      </c>
      <c r="L1104" s="19">
        <v>370.1068537513201</v>
      </c>
    </row>
    <row r="1105" spans="1:12">
      <c r="A1105" s="19">
        <v>244.78760499038412</v>
      </c>
      <c r="B1105" s="19">
        <v>256.56309234536258</v>
      </c>
      <c r="C1105" s="19">
        <v>214.51164848073967</v>
      </c>
      <c r="D1105" s="19">
        <v>221.60631377936221</v>
      </c>
      <c r="E1105" s="19">
        <v>273.30932106482953</v>
      </c>
      <c r="F1105" s="19">
        <v>205.7820734668237</v>
      </c>
      <c r="G1105" s="19">
        <v>251.11792808967314</v>
      </c>
      <c r="H1105" s="19">
        <v>235.64452275431043</v>
      </c>
      <c r="I1105" s="19">
        <v>257.57976538157197</v>
      </c>
      <c r="J1105" s="19">
        <v>262.51148317653616</v>
      </c>
      <c r="K1105" s="19">
        <v>282.85810723243731</v>
      </c>
      <c r="L1105" s="19">
        <v>308.84727018253926</v>
      </c>
    </row>
    <row r="1106" spans="1:12">
      <c r="A1106" s="19">
        <v>254.30851400699063</v>
      </c>
      <c r="B1106" s="19">
        <v>270.16811620130886</v>
      </c>
      <c r="C1106" s="19">
        <v>248.1154759329869</v>
      </c>
      <c r="D1106" s="19">
        <v>246.56250747441072</v>
      </c>
      <c r="E1106" s="19">
        <v>295.08750862762184</v>
      </c>
      <c r="F1106" s="19">
        <v>253.92161487219531</v>
      </c>
      <c r="G1106" s="19">
        <v>275.47569967979319</v>
      </c>
      <c r="H1106" s="19">
        <v>271.19684024070563</v>
      </c>
      <c r="I1106" s="19">
        <v>303.87279410832576</v>
      </c>
      <c r="J1106" s="19">
        <v>313.35144514624773</v>
      </c>
      <c r="K1106" s="19">
        <v>335.1083842979213</v>
      </c>
      <c r="L1106" s="19">
        <v>393.96673860199058</v>
      </c>
    </row>
    <row r="1107" spans="1:12">
      <c r="A1107" s="19">
        <v>238.90143899549241</v>
      </c>
      <c r="B1107" s="19">
        <v>248.22340831243855</v>
      </c>
      <c r="C1107" s="19">
        <v>222.10775108764392</v>
      </c>
      <c r="D1107" s="19">
        <v>238.69122418650096</v>
      </c>
      <c r="E1107" s="19">
        <v>288.54423038254379</v>
      </c>
      <c r="F1107" s="19">
        <v>233.05972684277387</v>
      </c>
      <c r="G1107" s="19">
        <v>244.25239881400003</v>
      </c>
      <c r="H1107" s="19">
        <v>241.387582749031</v>
      </c>
      <c r="I1107" s="19">
        <v>261.90734372516158</v>
      </c>
      <c r="J1107" s="19">
        <v>289.18644062912489</v>
      </c>
      <c r="K1107" s="19">
        <v>285.22443392874999</v>
      </c>
      <c r="L1107" s="19">
        <v>341.58561860914426</v>
      </c>
    </row>
    <row r="1108" spans="1:12">
      <c r="A1108" s="19">
        <v>241.54021225120397</v>
      </c>
      <c r="B1108" s="19">
        <v>261.34935552744548</v>
      </c>
      <c r="C1108" s="19">
        <v>232.35026644345274</v>
      </c>
      <c r="D1108" s="19">
        <v>224.74838650316553</v>
      </c>
      <c r="E1108" s="19">
        <v>265.34423713700045</v>
      </c>
      <c r="F1108" s="19">
        <v>223.33779899566667</v>
      </c>
      <c r="G1108" s="19">
        <v>258.24508995093493</v>
      </c>
      <c r="H1108" s="19">
        <v>269.95419704864912</v>
      </c>
      <c r="I1108" s="19">
        <v>265.67336907264729</v>
      </c>
      <c r="J1108" s="19">
        <v>273.71444388901477</v>
      </c>
      <c r="K1108" s="19">
        <v>274.36334704134703</v>
      </c>
      <c r="L1108" s="19">
        <v>329.56618071417137</v>
      </c>
    </row>
    <row r="1109" spans="1:12">
      <c r="A1109" s="19">
        <v>255.16695585395044</v>
      </c>
      <c r="B1109" s="19">
        <v>280.61090373254757</v>
      </c>
      <c r="C1109" s="19">
        <v>259.72339377784374</v>
      </c>
      <c r="D1109" s="19">
        <v>245.25240689715145</v>
      </c>
      <c r="E1109" s="19">
        <v>288.67527395458075</v>
      </c>
      <c r="F1109" s="19">
        <v>263.41512563221153</v>
      </c>
      <c r="G1109" s="19">
        <v>259.82113206215405</v>
      </c>
      <c r="H1109" s="19">
        <v>268.76663688758504</v>
      </c>
      <c r="I1109" s="19">
        <v>271.82178623162702</v>
      </c>
      <c r="J1109" s="19">
        <v>292.4561864838102</v>
      </c>
      <c r="K1109" s="19">
        <v>329.97122784417309</v>
      </c>
      <c r="L1109" s="19">
        <v>375.77041392818143</v>
      </c>
    </row>
    <row r="1110" spans="1:12">
      <c r="A1110" s="19">
        <v>243.28571658138196</v>
      </c>
      <c r="B1110" s="19">
        <v>256.81740363530946</v>
      </c>
      <c r="C1110" s="19">
        <v>236.1278653641055</v>
      </c>
      <c r="D1110" s="19">
        <v>219.13193938253107</v>
      </c>
      <c r="E1110" s="19">
        <v>281.02634012628477</v>
      </c>
      <c r="F1110" s="19">
        <v>241.93037522863051</v>
      </c>
      <c r="G1110" s="19">
        <v>254.0386089219453</v>
      </c>
      <c r="H1110" s="19">
        <v>253.71922929553574</v>
      </c>
      <c r="I1110" s="19">
        <v>274.33395293410553</v>
      </c>
      <c r="J1110" s="19">
        <v>295.36988831241689</v>
      </c>
      <c r="K1110" s="19">
        <v>296.50846141195689</v>
      </c>
      <c r="L1110" s="19">
        <v>346.79181198700695</v>
      </c>
    </row>
    <row r="1111" spans="1:12">
      <c r="A1111" s="19">
        <v>241.16139325303524</v>
      </c>
      <c r="B1111" s="19">
        <v>253.2767845412302</v>
      </c>
      <c r="C1111" s="19">
        <v>254.42079969513014</v>
      </c>
      <c r="D1111" s="19">
        <v>235.84822093720032</v>
      </c>
      <c r="E1111" s="19">
        <v>299.84775002718237</v>
      </c>
      <c r="F1111" s="19">
        <v>260.68128054476904</v>
      </c>
      <c r="G1111" s="19">
        <v>247.22136933702683</v>
      </c>
      <c r="H1111" s="19">
        <v>261.53635687614354</v>
      </c>
      <c r="I1111" s="19">
        <v>295.96538606934024</v>
      </c>
      <c r="J1111" s="19">
        <v>297.74990800906096</v>
      </c>
      <c r="K1111" s="19">
        <v>308.49095208224679</v>
      </c>
      <c r="L1111" s="19">
        <v>356.09302308573183</v>
      </c>
    </row>
    <row r="1112" spans="1:12">
      <c r="A1112" s="19">
        <v>232.93394761630017</v>
      </c>
      <c r="B1112" s="19">
        <v>251.83164284029982</v>
      </c>
      <c r="C1112" s="19">
        <v>257.59387650885225</v>
      </c>
      <c r="D1112" s="19">
        <v>230.53840010756807</v>
      </c>
      <c r="E1112" s="19">
        <v>259.34575407893971</v>
      </c>
      <c r="F1112" s="19">
        <v>269.57720938909023</v>
      </c>
      <c r="G1112" s="19">
        <v>261.70417374044325</v>
      </c>
      <c r="H1112" s="19">
        <v>250.00411310514988</v>
      </c>
      <c r="I1112" s="19">
        <v>292.15159756243901</v>
      </c>
      <c r="J1112" s="19">
        <v>306.31586051622594</v>
      </c>
      <c r="K1112" s="19">
        <v>322.5986605716833</v>
      </c>
      <c r="L1112" s="19">
        <v>388.5993234308965</v>
      </c>
    </row>
    <row r="1113" spans="1:12">
      <c r="A1113" s="19">
        <v>240.12931113638606</v>
      </c>
      <c r="B1113" s="19">
        <v>282.48230149143353</v>
      </c>
      <c r="C1113" s="19">
        <v>241.86605521890763</v>
      </c>
      <c r="D1113" s="19">
        <v>245.59932102339062</v>
      </c>
      <c r="E1113" s="19">
        <v>278.71534728424524</v>
      </c>
      <c r="F1113" s="19">
        <v>237.9506160750978</v>
      </c>
      <c r="G1113" s="19">
        <v>269.91580380123293</v>
      </c>
      <c r="H1113" s="19">
        <v>263.90074411275003</v>
      </c>
      <c r="I1113" s="19">
        <v>303.9472972697144</v>
      </c>
      <c r="J1113" s="19">
        <v>300.43137135929186</v>
      </c>
      <c r="K1113" s="19">
        <v>307.43549881546693</v>
      </c>
      <c r="L1113" s="19">
        <v>380.95777581687543</v>
      </c>
    </row>
    <row r="1114" spans="1:12">
      <c r="A1114" s="19">
        <v>240.44328695015719</v>
      </c>
      <c r="B1114" s="19">
        <v>251.99278174358125</v>
      </c>
      <c r="C1114" s="19">
        <v>232.02261181280812</v>
      </c>
      <c r="D1114" s="19">
        <v>215.16143563878614</v>
      </c>
      <c r="E1114" s="19">
        <v>258.55696742293065</v>
      </c>
      <c r="F1114" s="19">
        <v>217.06129089257789</v>
      </c>
      <c r="G1114" s="19">
        <v>231.50735537653887</v>
      </c>
      <c r="H1114" s="19">
        <v>232.0142620178562</v>
      </c>
      <c r="I1114" s="19">
        <v>254.13182124276693</v>
      </c>
      <c r="J1114" s="19">
        <v>264.99842994990621</v>
      </c>
      <c r="K1114" s="19">
        <v>257.15492452741802</v>
      </c>
      <c r="L1114" s="19">
        <v>296.78982436363742</v>
      </c>
    </row>
    <row r="1115" spans="1:12">
      <c r="A1115" s="19">
        <v>258.7989727220226</v>
      </c>
      <c r="B1115" s="19">
        <v>283.44261638748986</v>
      </c>
      <c r="C1115" s="19">
        <v>246.33700004294127</v>
      </c>
      <c r="D1115" s="19">
        <v>267.98476253634095</v>
      </c>
      <c r="E1115" s="19">
        <v>304.27472112665845</v>
      </c>
      <c r="F1115" s="19">
        <v>287.35593418576093</v>
      </c>
      <c r="G1115" s="19">
        <v>276.53764167484746</v>
      </c>
      <c r="H1115" s="19">
        <v>322.98621970553961</v>
      </c>
      <c r="I1115" s="19">
        <v>347.9762898362568</v>
      </c>
      <c r="J1115" s="19">
        <v>354.19634490866696</v>
      </c>
      <c r="K1115" s="19">
        <v>379.51590166278294</v>
      </c>
      <c r="L1115" s="19">
        <v>443.1050612547424</v>
      </c>
    </row>
    <row r="1116" spans="1:12">
      <c r="A1116" s="19">
        <v>262.0953785130265</v>
      </c>
      <c r="B1116" s="19">
        <v>278.54546428787734</v>
      </c>
      <c r="C1116" s="19">
        <v>253.250381113109</v>
      </c>
      <c r="D1116" s="19">
        <v>247.48612591169206</v>
      </c>
      <c r="E1116" s="19">
        <v>304.97613229961536</v>
      </c>
      <c r="F1116" s="19">
        <v>260.3492219690753</v>
      </c>
      <c r="G1116" s="19">
        <v>254.18696505946963</v>
      </c>
      <c r="H1116" s="19">
        <v>267.89942328383023</v>
      </c>
      <c r="I1116" s="19">
        <v>288.05494846397988</v>
      </c>
      <c r="J1116" s="19">
        <v>309.85383616797952</v>
      </c>
      <c r="K1116" s="19">
        <v>321.13497360938908</v>
      </c>
      <c r="L1116" s="19">
        <v>371.67400059918373</v>
      </c>
    </row>
    <row r="1117" spans="1:12">
      <c r="A1117" s="19">
        <v>236.02807955650675</v>
      </c>
      <c r="B1117" s="19">
        <v>248.57092407122133</v>
      </c>
      <c r="C1117" s="19">
        <v>234.48843841268035</v>
      </c>
      <c r="D1117" s="19">
        <v>231.75996330881335</v>
      </c>
      <c r="E1117" s="19">
        <v>266.21838392615058</v>
      </c>
      <c r="F1117" s="19">
        <v>237.70571038771419</v>
      </c>
      <c r="G1117" s="19">
        <v>260.55529366176529</v>
      </c>
      <c r="H1117" s="19">
        <v>242.4196723638845</v>
      </c>
      <c r="I1117" s="19">
        <v>273.8687616058092</v>
      </c>
      <c r="J1117" s="19">
        <v>295.99602009494612</v>
      </c>
      <c r="K1117" s="19">
        <v>309.23058347969635</v>
      </c>
      <c r="L1117" s="19">
        <v>348.24232322936177</v>
      </c>
    </row>
    <row r="1118" spans="1:12">
      <c r="A1118" s="19">
        <v>257.91175212787027</v>
      </c>
      <c r="B1118" s="19">
        <v>256.54957356251663</v>
      </c>
      <c r="C1118" s="19">
        <v>225.02011708128799</v>
      </c>
      <c r="D1118" s="19">
        <v>241.21968504411183</v>
      </c>
      <c r="E1118" s="19">
        <v>269.35423488524157</v>
      </c>
      <c r="F1118" s="19">
        <v>255.16094435038957</v>
      </c>
      <c r="G1118" s="19">
        <v>238.44923568926311</v>
      </c>
      <c r="H1118" s="19">
        <v>262.91501555389101</v>
      </c>
      <c r="I1118" s="19">
        <v>283.60448323194737</v>
      </c>
      <c r="J1118" s="19">
        <v>289.53772488604119</v>
      </c>
      <c r="K1118" s="19">
        <v>302.56683418285928</v>
      </c>
      <c r="L1118" s="19">
        <v>335.90128915220203</v>
      </c>
    </row>
    <row r="1119" spans="1:12">
      <c r="A1119" s="19">
        <v>269.20575793435114</v>
      </c>
      <c r="B1119" s="19">
        <v>290.22765420159431</v>
      </c>
      <c r="C1119" s="19">
        <v>259.51592520420758</v>
      </c>
      <c r="D1119" s="19">
        <v>242.61272676715492</v>
      </c>
      <c r="E1119" s="19">
        <v>308.64670232900335</v>
      </c>
      <c r="F1119" s="19">
        <v>271.94825543299226</v>
      </c>
      <c r="G1119" s="19">
        <v>266.87415560427741</v>
      </c>
      <c r="H1119" s="19">
        <v>269.89328548016488</v>
      </c>
      <c r="I1119" s="19">
        <v>307.83675862287043</v>
      </c>
      <c r="J1119" s="19">
        <v>306.60291318344025</v>
      </c>
      <c r="K1119" s="19">
        <v>349.02369227405103</v>
      </c>
      <c r="L1119" s="19">
        <v>387.93908175011967</v>
      </c>
    </row>
    <row r="1120" spans="1:12">
      <c r="A1120" s="19">
        <v>242.66091759559288</v>
      </c>
      <c r="B1120" s="19">
        <v>270.53070291707627</v>
      </c>
      <c r="C1120" s="19">
        <v>255.4433741743664</v>
      </c>
      <c r="D1120" s="19">
        <v>237.75469899758764</v>
      </c>
      <c r="E1120" s="19">
        <v>283.94680548611626</v>
      </c>
      <c r="F1120" s="19">
        <v>263.2319575555457</v>
      </c>
      <c r="G1120" s="19">
        <v>270.4736112707651</v>
      </c>
      <c r="H1120" s="19">
        <v>264.1399463732468</v>
      </c>
      <c r="I1120" s="19">
        <v>284.11322457941941</v>
      </c>
      <c r="J1120" s="19">
        <v>315.38006623609311</v>
      </c>
      <c r="K1120" s="19">
        <v>342.3578247222249</v>
      </c>
      <c r="L1120" s="19">
        <v>374.08177866379253</v>
      </c>
    </row>
    <row r="1121" spans="1:12">
      <c r="A1121" s="19">
        <v>256.91252632343827</v>
      </c>
      <c r="B1121" s="19">
        <v>281.04971982991282</v>
      </c>
      <c r="C1121" s="19">
        <v>250.15788292518349</v>
      </c>
      <c r="D1121" s="19">
        <v>264.67277686576921</v>
      </c>
      <c r="E1121" s="19">
        <v>301.82614686401143</v>
      </c>
      <c r="F1121" s="19">
        <v>270.34426040811769</v>
      </c>
      <c r="G1121" s="19">
        <v>278.40415381478226</v>
      </c>
      <c r="H1121" s="19">
        <v>303.68065195119112</v>
      </c>
      <c r="I1121" s="19">
        <v>313.16665260353943</v>
      </c>
      <c r="J1121" s="19">
        <v>353.26895542024704</v>
      </c>
      <c r="K1121" s="19">
        <v>363.90998076183314</v>
      </c>
      <c r="L1121" s="19">
        <v>436.61011250210407</v>
      </c>
    </row>
    <row r="1122" spans="1:12">
      <c r="A1122" s="19">
        <v>247.90339718489432</v>
      </c>
      <c r="B1122" s="19">
        <v>281.77174846913397</v>
      </c>
      <c r="C1122" s="19">
        <v>237.93471680290801</v>
      </c>
      <c r="D1122" s="19">
        <v>248.60919662326921</v>
      </c>
      <c r="E1122" s="19">
        <v>284.08669754849939</v>
      </c>
      <c r="F1122" s="19">
        <v>248.26360992793232</v>
      </c>
      <c r="G1122" s="19">
        <v>258.19350479688308</v>
      </c>
      <c r="H1122" s="19">
        <v>258.3534932203782</v>
      </c>
      <c r="I1122" s="19">
        <v>281.89579049738961</v>
      </c>
      <c r="J1122" s="19">
        <v>300.62049819603482</v>
      </c>
      <c r="K1122" s="19">
        <v>302.86319972378118</v>
      </c>
      <c r="L1122" s="19">
        <v>368.01642902329962</v>
      </c>
    </row>
    <row r="1123" spans="1:12">
      <c r="A1123" s="19">
        <v>252.45144593641459</v>
      </c>
      <c r="B1123" s="19">
        <v>272.84196324621047</v>
      </c>
      <c r="C1123" s="19">
        <v>228.83141478459348</v>
      </c>
      <c r="D1123" s="19">
        <v>242.14388517044588</v>
      </c>
      <c r="E1123" s="19">
        <v>267.8978293857665</v>
      </c>
      <c r="F1123" s="19">
        <v>246.6824205132595</v>
      </c>
      <c r="G1123" s="19">
        <v>257.23232471587232</v>
      </c>
      <c r="H1123" s="19">
        <v>251.00329345696136</v>
      </c>
      <c r="I1123" s="19">
        <v>274.64612375470045</v>
      </c>
      <c r="J1123" s="19">
        <v>278.72492828038617</v>
      </c>
      <c r="K1123" s="19">
        <v>300.08770513131236</v>
      </c>
      <c r="L1123" s="19">
        <v>342.5096792675202</v>
      </c>
    </row>
    <row r="1124" spans="1:12">
      <c r="A1124" s="19">
        <v>250.54943141515102</v>
      </c>
      <c r="B1124" s="19">
        <v>266.76004720557887</v>
      </c>
      <c r="C1124" s="19">
        <v>251.34611439127738</v>
      </c>
      <c r="D1124" s="19">
        <v>265.25679622827295</v>
      </c>
      <c r="E1124" s="19">
        <v>284.90214490031821</v>
      </c>
      <c r="F1124" s="19">
        <v>261.71183792560618</v>
      </c>
      <c r="G1124" s="19">
        <v>264.3039605665403</v>
      </c>
      <c r="H1124" s="19">
        <v>277.56956784699258</v>
      </c>
      <c r="I1124" s="19">
        <v>297.25357726345692</v>
      </c>
      <c r="J1124" s="19">
        <v>334.81919113341417</v>
      </c>
      <c r="K1124" s="19">
        <v>347.57099699802387</v>
      </c>
      <c r="L1124" s="19">
        <v>394.30679291614769</v>
      </c>
    </row>
    <row r="1125" spans="1:12">
      <c r="A1125" s="19">
        <v>240.14652404475851</v>
      </c>
      <c r="B1125" s="19">
        <v>257.54894768230423</v>
      </c>
      <c r="C1125" s="19">
        <v>235.59856543690222</v>
      </c>
      <c r="D1125" s="19">
        <v>219.57047627837673</v>
      </c>
      <c r="E1125" s="19">
        <v>258.2159848968144</v>
      </c>
      <c r="F1125" s="19">
        <v>223.09687116916322</v>
      </c>
      <c r="G1125" s="19">
        <v>231.35565434239084</v>
      </c>
      <c r="H1125" s="19">
        <v>259.39876887405831</v>
      </c>
      <c r="I1125" s="19">
        <v>263.03355528737967</v>
      </c>
      <c r="J1125" s="19">
        <v>281.10632548278789</v>
      </c>
      <c r="K1125" s="19">
        <v>283.71149049929772</v>
      </c>
      <c r="L1125" s="19">
        <v>341.39372722453533</v>
      </c>
    </row>
    <row r="1126" spans="1:12">
      <c r="A1126" s="19">
        <v>232.59733051365976</v>
      </c>
      <c r="B1126" s="19">
        <v>247.91574664679911</v>
      </c>
      <c r="C1126" s="19">
        <v>225.65913139183652</v>
      </c>
      <c r="D1126" s="19">
        <v>203.03730806315016</v>
      </c>
      <c r="E1126" s="19">
        <v>258.40439106888255</v>
      </c>
      <c r="F1126" s="19">
        <v>223.34318310742086</v>
      </c>
      <c r="G1126" s="19">
        <v>216.53015108111771</v>
      </c>
      <c r="H1126" s="19">
        <v>236.30228313494104</v>
      </c>
      <c r="I1126" s="19">
        <v>249.09567206110506</v>
      </c>
      <c r="J1126" s="19">
        <v>252.71942330062924</v>
      </c>
      <c r="K1126" s="19">
        <v>267.06210495183467</v>
      </c>
      <c r="L1126" s="19">
        <v>309.35752721556315</v>
      </c>
    </row>
    <row r="1127" spans="1:12">
      <c r="A1127" s="19">
        <v>234.90825923554775</v>
      </c>
      <c r="B1127" s="19">
        <v>252.25184476370751</v>
      </c>
      <c r="C1127" s="19">
        <v>233.35228562383685</v>
      </c>
      <c r="D1127" s="19">
        <v>248.87104373757828</v>
      </c>
      <c r="E1127" s="19">
        <v>282.77641127574884</v>
      </c>
      <c r="F1127" s="19">
        <v>242.62670333297152</v>
      </c>
      <c r="G1127" s="19">
        <v>262.56646675861793</v>
      </c>
      <c r="H1127" s="19">
        <v>254.30484410943347</v>
      </c>
      <c r="I1127" s="19">
        <v>282.08204391067574</v>
      </c>
      <c r="J1127" s="19">
        <v>296.76018611735537</v>
      </c>
      <c r="K1127" s="19">
        <v>293.63915660230617</v>
      </c>
      <c r="L1127" s="19">
        <v>353.06177869416058</v>
      </c>
    </row>
    <row r="1128" spans="1:12">
      <c r="A1128" s="19">
        <v>247.29112126972402</v>
      </c>
      <c r="B1128" s="19">
        <v>274.94077968198599</v>
      </c>
      <c r="C1128" s="19">
        <v>256.03215739658049</v>
      </c>
      <c r="D1128" s="19">
        <v>246.06266256176949</v>
      </c>
      <c r="E1128" s="19">
        <v>287.696202227941</v>
      </c>
      <c r="F1128" s="19">
        <v>264.10500149843415</v>
      </c>
      <c r="G1128" s="19">
        <v>274.33865904941115</v>
      </c>
      <c r="H1128" s="19">
        <v>273.64518006393507</v>
      </c>
      <c r="I1128" s="19">
        <v>296.44212537485294</v>
      </c>
      <c r="J1128" s="19">
        <v>309.14819469023064</v>
      </c>
      <c r="K1128" s="19">
        <v>328.88164570130607</v>
      </c>
      <c r="L1128" s="19">
        <v>389.11096824335357</v>
      </c>
    </row>
    <row r="1129" spans="1:12">
      <c r="A1129" s="19">
        <v>241.98924513857099</v>
      </c>
      <c r="B1129" s="19">
        <v>272.8241959124814</v>
      </c>
      <c r="C1129" s="19">
        <v>245.37543885406384</v>
      </c>
      <c r="D1129" s="19">
        <v>250.96739020510924</v>
      </c>
      <c r="E1129" s="19">
        <v>286.60927236007996</v>
      </c>
      <c r="F1129" s="19">
        <v>242.05554631370222</v>
      </c>
      <c r="G1129" s="19">
        <v>285.14623768469357</v>
      </c>
      <c r="H1129" s="19">
        <v>271.99913390730262</v>
      </c>
      <c r="I1129" s="19">
        <v>309.79638601955116</v>
      </c>
      <c r="J1129" s="19">
        <v>338.14620994240283</v>
      </c>
      <c r="K1129" s="19">
        <v>359.72663221208796</v>
      </c>
      <c r="L1129" s="19">
        <v>403.91507035478242</v>
      </c>
    </row>
    <row r="1130" spans="1:12">
      <c r="A1130" s="19">
        <v>251.20108685398961</v>
      </c>
      <c r="B1130" s="19">
        <v>270.95311157305645</v>
      </c>
      <c r="C1130" s="19">
        <v>252.07706118900109</v>
      </c>
      <c r="D1130" s="19">
        <v>239.78314818748771</v>
      </c>
      <c r="E1130" s="19">
        <v>284.00397728762999</v>
      </c>
      <c r="F1130" s="19">
        <v>259.54045435609765</v>
      </c>
      <c r="G1130" s="19">
        <v>265.52781813385326</v>
      </c>
      <c r="H1130" s="19">
        <v>260.64679173066912</v>
      </c>
      <c r="I1130" s="19">
        <v>295.31973469292768</v>
      </c>
      <c r="J1130" s="19">
        <v>280.76904260873812</v>
      </c>
      <c r="K1130" s="19">
        <v>324.61927751246344</v>
      </c>
      <c r="L1130" s="19">
        <v>367.41400360135253</v>
      </c>
    </row>
    <row r="1131" spans="1:12">
      <c r="A1131" s="19">
        <v>230.36979116074963</v>
      </c>
      <c r="B1131" s="19">
        <v>249.61326643549464</v>
      </c>
      <c r="C1131" s="19">
        <v>230.36157712388592</v>
      </c>
      <c r="D1131" s="19">
        <v>221.12315779560149</v>
      </c>
      <c r="E1131" s="19">
        <v>267.58670131441045</v>
      </c>
      <c r="F1131" s="19">
        <v>209.85184416555461</v>
      </c>
      <c r="G1131" s="19">
        <v>240.50035822513485</v>
      </c>
      <c r="H1131" s="19">
        <v>251.02375976772538</v>
      </c>
      <c r="I1131" s="19">
        <v>260.43111269192411</v>
      </c>
      <c r="J1131" s="19">
        <v>273.99552728207243</v>
      </c>
      <c r="K1131" s="19">
        <v>283.96732503567966</v>
      </c>
      <c r="L1131" s="19">
        <v>320.04529291378498</v>
      </c>
    </row>
    <row r="1132" spans="1:12">
      <c r="A1132" s="19">
        <v>241.78384502875943</v>
      </c>
      <c r="B1132" s="19">
        <v>257.54539779150355</v>
      </c>
      <c r="C1132" s="19">
        <v>258.78892715637483</v>
      </c>
      <c r="D1132" s="19">
        <v>240.129290639126</v>
      </c>
      <c r="E1132" s="19">
        <v>284.0258016211086</v>
      </c>
      <c r="F1132" s="19">
        <v>255.58705398702509</v>
      </c>
      <c r="G1132" s="19">
        <v>258.23892223058709</v>
      </c>
      <c r="H1132" s="19">
        <v>277.7919555458443</v>
      </c>
      <c r="I1132" s="19">
        <v>295.10433655563781</v>
      </c>
      <c r="J1132" s="19">
        <v>309.21396478715343</v>
      </c>
      <c r="K1132" s="19">
        <v>315.56363188867635</v>
      </c>
      <c r="L1132" s="19">
        <v>385.98408843724667</v>
      </c>
    </row>
    <row r="1133" spans="1:12">
      <c r="A1133" s="19">
        <v>256.71579499256609</v>
      </c>
      <c r="B1133" s="19">
        <v>273.38940055097078</v>
      </c>
      <c r="C1133" s="19">
        <v>257.88124091492602</v>
      </c>
      <c r="D1133" s="19">
        <v>255.2197687720786</v>
      </c>
      <c r="E1133" s="19">
        <v>297.92518455389967</v>
      </c>
      <c r="F1133" s="19">
        <v>281.92715133631231</v>
      </c>
      <c r="G1133" s="19">
        <v>298.16039328510175</v>
      </c>
      <c r="H1133" s="19">
        <v>282.91596587735768</v>
      </c>
      <c r="I1133" s="19">
        <v>321.03583851474474</v>
      </c>
      <c r="J1133" s="19">
        <v>327.08649243015071</v>
      </c>
      <c r="K1133" s="19">
        <v>354.07210485929761</v>
      </c>
      <c r="L1133" s="19">
        <v>418.12704385566695</v>
      </c>
    </row>
    <row r="1134" spans="1:12">
      <c r="A1134" s="19">
        <v>241.03642551309997</v>
      </c>
      <c r="B1134" s="19">
        <v>265.72274171537117</v>
      </c>
      <c r="C1134" s="19">
        <v>232.9944473485572</v>
      </c>
      <c r="D1134" s="19">
        <v>242.93084355934397</v>
      </c>
      <c r="E1134" s="19">
        <v>272.41575573258183</v>
      </c>
      <c r="F1134" s="19">
        <v>237.47493319295589</v>
      </c>
      <c r="G1134" s="19">
        <v>257.42923205971863</v>
      </c>
      <c r="H1134" s="19">
        <v>249.69401865132315</v>
      </c>
      <c r="I1134" s="19">
        <v>274.93943120687436</v>
      </c>
      <c r="J1134" s="19">
        <v>299.64284517874069</v>
      </c>
      <c r="K1134" s="19">
        <v>321.11063943873614</v>
      </c>
      <c r="L1134" s="19">
        <v>361.07159268483468</v>
      </c>
    </row>
    <row r="1135" spans="1:12">
      <c r="A1135" s="19">
        <v>252.56556954725315</v>
      </c>
      <c r="B1135" s="19">
        <v>252.00503243815461</v>
      </c>
      <c r="C1135" s="19">
        <v>245.68822231476594</v>
      </c>
      <c r="D1135" s="19">
        <v>250.06069695083164</v>
      </c>
      <c r="E1135" s="19">
        <v>313.5554420522505</v>
      </c>
      <c r="F1135" s="19">
        <v>245.91584087015889</v>
      </c>
      <c r="G1135" s="19">
        <v>266.09069049144711</v>
      </c>
      <c r="H1135" s="19">
        <v>263.82615972913538</v>
      </c>
      <c r="I1135" s="19">
        <v>308.07263463909248</v>
      </c>
      <c r="J1135" s="19">
        <v>310.96908651594862</v>
      </c>
      <c r="K1135" s="19">
        <v>348.94590444212173</v>
      </c>
      <c r="L1135" s="19">
        <v>396.7156662003448</v>
      </c>
    </row>
    <row r="1136" spans="1:12">
      <c r="A1136" s="19">
        <v>242.93409642939903</v>
      </c>
      <c r="B1136" s="19">
        <v>259.23986082748314</v>
      </c>
      <c r="C1136" s="19">
        <v>247.7445493895157</v>
      </c>
      <c r="D1136" s="19">
        <v>238.16232289115328</v>
      </c>
      <c r="E1136" s="19">
        <v>286.22375920603582</v>
      </c>
      <c r="F1136" s="19">
        <v>248.24426725957358</v>
      </c>
      <c r="G1136" s="19">
        <v>257.10370218369491</v>
      </c>
      <c r="H1136" s="19">
        <v>261.17019415164481</v>
      </c>
      <c r="I1136" s="19">
        <v>284.63000720346764</v>
      </c>
      <c r="J1136" s="19">
        <v>311.3880898933071</v>
      </c>
      <c r="K1136" s="19">
        <v>304.24994822841876</v>
      </c>
      <c r="L1136" s="19">
        <v>351.47326198277756</v>
      </c>
    </row>
    <row r="1137" spans="1:12">
      <c r="A1137" s="19">
        <v>236.93391430461355</v>
      </c>
      <c r="B1137" s="19">
        <v>258.39599629215678</v>
      </c>
      <c r="C1137" s="19">
        <v>227.31316017133915</v>
      </c>
      <c r="D1137" s="19">
        <v>232.46348411472471</v>
      </c>
      <c r="E1137" s="19">
        <v>271.15614014916247</v>
      </c>
      <c r="F1137" s="19">
        <v>234.26816197936802</v>
      </c>
      <c r="G1137" s="19">
        <v>250.47898003126727</v>
      </c>
      <c r="H1137" s="19">
        <v>257.36936289783443</v>
      </c>
      <c r="I1137" s="19">
        <v>278.42940842501264</v>
      </c>
      <c r="J1137" s="19">
        <v>278.74088197976982</v>
      </c>
      <c r="K1137" s="19">
        <v>299.82177165325919</v>
      </c>
      <c r="L1137" s="19">
        <v>343.58187337443132</v>
      </c>
    </row>
    <row r="1138" spans="1:12">
      <c r="A1138" s="19">
        <v>231.69789031823927</v>
      </c>
      <c r="B1138" s="19">
        <v>249.38664393587476</v>
      </c>
      <c r="C1138" s="19">
        <v>231.34639064709202</v>
      </c>
      <c r="D1138" s="19">
        <v>222.67457628507057</v>
      </c>
      <c r="E1138" s="19">
        <v>269.10763760694124</v>
      </c>
      <c r="F1138" s="19">
        <v>222.97333495247776</v>
      </c>
      <c r="G1138" s="19">
        <v>232.3294142352282</v>
      </c>
      <c r="H1138" s="19">
        <v>235.52905206999779</v>
      </c>
      <c r="I1138" s="19">
        <v>264.27724090002278</v>
      </c>
      <c r="J1138" s="19">
        <v>266.86250565205074</v>
      </c>
      <c r="K1138" s="19">
        <v>279.16751163139412</v>
      </c>
      <c r="L1138" s="19">
        <v>329.15439413599915</v>
      </c>
    </row>
    <row r="1139" spans="1:12">
      <c r="A1139" s="19">
        <v>253.09472286076874</v>
      </c>
      <c r="B1139" s="19">
        <v>271.08735284591614</v>
      </c>
      <c r="C1139" s="19">
        <v>248.48227374445116</v>
      </c>
      <c r="D1139" s="19">
        <v>241.20398403984643</v>
      </c>
      <c r="E1139" s="19">
        <v>276.08474173162017</v>
      </c>
      <c r="F1139" s="19">
        <v>234.47456636721648</v>
      </c>
      <c r="G1139" s="19">
        <v>239.47939471298363</v>
      </c>
      <c r="H1139" s="19">
        <v>254.22371322223094</v>
      </c>
      <c r="I1139" s="19">
        <v>278.85276632086294</v>
      </c>
      <c r="J1139" s="19">
        <v>277.86986356573084</v>
      </c>
      <c r="K1139" s="19">
        <v>300.33414146348611</v>
      </c>
      <c r="L1139" s="19">
        <v>328.01712585559818</v>
      </c>
    </row>
    <row r="1140" spans="1:12">
      <c r="A1140" s="19">
        <v>246.19355036399494</v>
      </c>
      <c r="B1140" s="19">
        <v>273.51337824059812</v>
      </c>
      <c r="C1140" s="19">
        <v>237.10372342635952</v>
      </c>
      <c r="D1140" s="19">
        <v>227.48821220707788</v>
      </c>
      <c r="E1140" s="19">
        <v>289.77001196216315</v>
      </c>
      <c r="F1140" s="19">
        <v>245.24237032257741</v>
      </c>
      <c r="G1140" s="19">
        <v>270.47296047373834</v>
      </c>
      <c r="H1140" s="19">
        <v>268.49286290554863</v>
      </c>
      <c r="I1140" s="19">
        <v>292.63425708269864</v>
      </c>
      <c r="J1140" s="19">
        <v>308.48421976794134</v>
      </c>
      <c r="K1140" s="19">
        <v>317.91639227873281</v>
      </c>
      <c r="L1140" s="19">
        <v>373.93622044432095</v>
      </c>
    </row>
    <row r="1141" spans="1:12">
      <c r="A1141" s="19">
        <v>240.18599233617849</v>
      </c>
      <c r="B1141" s="19">
        <v>241.65509354586351</v>
      </c>
      <c r="C1141" s="19">
        <v>238.92968529533096</v>
      </c>
      <c r="D1141" s="19">
        <v>228.84546569045261</v>
      </c>
      <c r="E1141" s="19">
        <v>267.94487438745296</v>
      </c>
      <c r="F1141" s="19">
        <v>249.70382721347778</v>
      </c>
      <c r="G1141" s="19">
        <v>261.89340598643838</v>
      </c>
      <c r="H1141" s="19">
        <v>273.64581558020535</v>
      </c>
      <c r="I1141" s="19">
        <v>285.59418588410654</v>
      </c>
      <c r="J1141" s="19">
        <v>282.16947140675472</v>
      </c>
      <c r="K1141" s="19">
        <v>300.27253942084747</v>
      </c>
      <c r="L1141" s="19">
        <v>360.98309286517912</v>
      </c>
    </row>
    <row r="1142" spans="1:12">
      <c r="A1142" s="19">
        <v>248.82756635304358</v>
      </c>
      <c r="B1142" s="19">
        <v>268.52334870329332</v>
      </c>
      <c r="C1142" s="19">
        <v>226.17092417191128</v>
      </c>
      <c r="D1142" s="19">
        <v>253.39810744481065</v>
      </c>
      <c r="E1142" s="19">
        <v>286.64594451010532</v>
      </c>
      <c r="F1142" s="19">
        <v>267.97117513496642</v>
      </c>
      <c r="G1142" s="19">
        <v>268.91355060662056</v>
      </c>
      <c r="H1142" s="19">
        <v>268.6010788564497</v>
      </c>
      <c r="I1142" s="19">
        <v>303.84030675079555</v>
      </c>
      <c r="J1142" s="19">
        <v>317.84761563147572</v>
      </c>
      <c r="K1142" s="19">
        <v>333.85293600193626</v>
      </c>
      <c r="L1142" s="19">
        <v>388.63078962501305</v>
      </c>
    </row>
    <row r="1143" spans="1:12">
      <c r="A1143" s="19">
        <v>235.80225296907645</v>
      </c>
      <c r="B1143" s="19">
        <v>263.94766824481928</v>
      </c>
      <c r="C1143" s="19">
        <v>242.306761446438</v>
      </c>
      <c r="D1143" s="19">
        <v>241.11143148870946</v>
      </c>
      <c r="E1143" s="19">
        <v>286.70288932287781</v>
      </c>
      <c r="F1143" s="19">
        <v>246.19137965463679</v>
      </c>
      <c r="G1143" s="19">
        <v>254.06092495091281</v>
      </c>
      <c r="H1143" s="19">
        <v>266.76530701506692</v>
      </c>
      <c r="I1143" s="19">
        <v>299.12501088130648</v>
      </c>
      <c r="J1143" s="19">
        <v>301.03089687301048</v>
      </c>
      <c r="K1143" s="19">
        <v>307.72085361234963</v>
      </c>
      <c r="L1143" s="19">
        <v>362.43162569770993</v>
      </c>
    </row>
    <row r="1144" spans="1:12">
      <c r="A1144" s="19">
        <v>232.62253268174894</v>
      </c>
      <c r="B1144" s="19">
        <v>254.97809129301299</v>
      </c>
      <c r="C1144" s="19">
        <v>229.01536334692776</v>
      </c>
      <c r="D1144" s="19">
        <v>235.1056094197917</v>
      </c>
      <c r="E1144" s="19">
        <v>264.18892962436479</v>
      </c>
      <c r="F1144" s="19">
        <v>221.50372693328808</v>
      </c>
      <c r="G1144" s="19">
        <v>242.16869363373164</v>
      </c>
      <c r="H1144" s="19">
        <v>254.949647376212</v>
      </c>
      <c r="I1144" s="19">
        <v>259.4267089701068</v>
      </c>
      <c r="J1144" s="19">
        <v>293.10440838084219</v>
      </c>
      <c r="K1144" s="19">
        <v>294.02254094266755</v>
      </c>
      <c r="L1144" s="19">
        <v>347.66004755633458</v>
      </c>
    </row>
    <row r="1145" spans="1:12">
      <c r="A1145" s="19">
        <v>242.611423465435</v>
      </c>
      <c r="B1145" s="19">
        <v>276.43838808425159</v>
      </c>
      <c r="C1145" s="19">
        <v>239.99844763527133</v>
      </c>
      <c r="D1145" s="19">
        <v>238.03949770183533</v>
      </c>
      <c r="E1145" s="19">
        <v>263.87086015873535</v>
      </c>
      <c r="F1145" s="19">
        <v>233.05263928153676</v>
      </c>
      <c r="G1145" s="19">
        <v>235.48755365583867</v>
      </c>
      <c r="H1145" s="19">
        <v>239.5163223730778</v>
      </c>
      <c r="I1145" s="19">
        <v>273.10751018522649</v>
      </c>
      <c r="J1145" s="19">
        <v>277.45298323095909</v>
      </c>
      <c r="K1145" s="19">
        <v>270.54726871468324</v>
      </c>
      <c r="L1145" s="19">
        <v>316.2840679162253</v>
      </c>
    </row>
    <row r="1146" spans="1:12">
      <c r="A1146" s="19">
        <v>240.96063010071597</v>
      </c>
      <c r="B1146" s="19">
        <v>246.4017062623534</v>
      </c>
      <c r="C1146" s="19">
        <v>228.12452676904834</v>
      </c>
      <c r="D1146" s="19">
        <v>223.01807556346122</v>
      </c>
      <c r="E1146" s="19">
        <v>259.13357747638673</v>
      </c>
      <c r="F1146" s="19">
        <v>227.88154442861853</v>
      </c>
      <c r="G1146" s="19">
        <v>235.9675520926094</v>
      </c>
      <c r="H1146" s="19">
        <v>235.59774334589741</v>
      </c>
      <c r="I1146" s="19">
        <v>248.14729847909445</v>
      </c>
      <c r="J1146" s="19">
        <v>265.62875014775938</v>
      </c>
      <c r="K1146" s="19">
        <v>285.73599044448423</v>
      </c>
      <c r="L1146" s="19">
        <v>308.88845951752074</v>
      </c>
    </row>
    <row r="1147" spans="1:12">
      <c r="A1147" s="19">
        <v>246.95298582203259</v>
      </c>
      <c r="B1147" s="19">
        <v>262.40202144110003</v>
      </c>
      <c r="C1147" s="19">
        <v>257.69573902333235</v>
      </c>
      <c r="D1147" s="19">
        <v>239.58637484016612</v>
      </c>
      <c r="E1147" s="19">
        <v>302.90375091837882</v>
      </c>
      <c r="F1147" s="19">
        <v>246.57958760066097</v>
      </c>
      <c r="G1147" s="19">
        <v>256.93373548332465</v>
      </c>
      <c r="H1147" s="19">
        <v>237.81992964213379</v>
      </c>
      <c r="I1147" s="19">
        <v>277.61204071995422</v>
      </c>
      <c r="J1147" s="19">
        <v>309.58405591999207</v>
      </c>
      <c r="K1147" s="19">
        <v>308.52069076575663</v>
      </c>
      <c r="L1147" s="19">
        <v>364.27097538800126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selection activeCell="A9" sqref="A9"/>
    </sheetView>
  </sheetViews>
  <sheetFormatPr baseColWidth="10" defaultRowHeight="15" x14ac:dyDescent="0"/>
  <sheetData>
    <row r="1" spans="1:13">
      <c r="A1" s="34">
        <v>37</v>
      </c>
      <c r="B1" s="34">
        <v>38</v>
      </c>
      <c r="C1" s="34">
        <v>39</v>
      </c>
      <c r="D1" s="34">
        <v>40</v>
      </c>
      <c r="E1" s="34">
        <v>41</v>
      </c>
      <c r="F1" s="34">
        <v>42</v>
      </c>
      <c r="G1" s="34">
        <v>43</v>
      </c>
      <c r="H1" s="34">
        <v>44</v>
      </c>
      <c r="I1" s="34">
        <v>45</v>
      </c>
      <c r="J1" s="34">
        <v>46</v>
      </c>
      <c r="K1" s="34">
        <v>47</v>
      </c>
      <c r="L1" s="34">
        <v>48</v>
      </c>
      <c r="M1" t="s">
        <v>61</v>
      </c>
    </row>
    <row r="2" spans="1:13">
      <c r="A2" s="19">
        <v>265.35379750497583</v>
      </c>
      <c r="B2" s="19">
        <v>285.87107872588473</v>
      </c>
      <c r="C2" s="19">
        <v>264.47612199675058</v>
      </c>
      <c r="D2" s="19">
        <v>267.2551190613238</v>
      </c>
      <c r="E2" s="19">
        <v>311.81217527429595</v>
      </c>
      <c r="F2" s="19">
        <v>279.21521593368277</v>
      </c>
      <c r="G2" s="19">
        <v>290.56484511001668</v>
      </c>
      <c r="H2" s="19">
        <v>300.62733821696747</v>
      </c>
      <c r="I2" s="19">
        <v>329.73700192663017</v>
      </c>
      <c r="J2" s="19">
        <v>349.98616096616371</v>
      </c>
      <c r="K2" s="19">
        <v>371.25094838848497</v>
      </c>
      <c r="L2" s="19">
        <v>439.42747424871737</v>
      </c>
      <c r="M2" t="s">
        <v>58</v>
      </c>
    </row>
    <row r="3" spans="1:13">
      <c r="A3" s="19">
        <v>245.40082244692098</v>
      </c>
      <c r="B3" s="19">
        <v>263.54184152998505</v>
      </c>
      <c r="C3" s="19">
        <v>241.39837602840973</v>
      </c>
      <c r="D3" s="19">
        <v>240.89538627693327</v>
      </c>
      <c r="E3" s="19">
        <v>280.75895875964454</v>
      </c>
      <c r="F3" s="19">
        <v>248.72413821081099</v>
      </c>
      <c r="G3" s="19">
        <v>257.47594479577793</v>
      </c>
      <c r="H3" s="19">
        <v>263.92502910091611</v>
      </c>
      <c r="I3" s="19">
        <v>286.70173824725873</v>
      </c>
      <c r="J3" s="19">
        <v>300.03807394359444</v>
      </c>
      <c r="K3" s="19">
        <v>314.90750571113244</v>
      </c>
      <c r="L3" s="19">
        <v>368.04480394892028</v>
      </c>
      <c r="M3" t="s">
        <v>60</v>
      </c>
    </row>
    <row r="4" spans="1:13">
      <c r="A4" s="19">
        <v>224.90409466019412</v>
      </c>
      <c r="B4" s="19">
        <v>239.69772141514193</v>
      </c>
      <c r="C4" s="19">
        <v>217.59035474490656</v>
      </c>
      <c r="D4" s="19">
        <v>215.90525599526802</v>
      </c>
      <c r="E4" s="19">
        <v>251.44636843533871</v>
      </c>
      <c r="F4" s="19">
        <v>218.93209168237996</v>
      </c>
      <c r="G4" s="19">
        <v>221.10597063676033</v>
      </c>
      <c r="H4" s="19">
        <v>226.2314697121154</v>
      </c>
      <c r="I4" s="19">
        <v>244.01491484575618</v>
      </c>
      <c r="J4" s="19">
        <v>251.80637622457701</v>
      </c>
      <c r="K4" s="19">
        <v>261.9260791368522</v>
      </c>
      <c r="L4" s="19">
        <v>299.47637849550273</v>
      </c>
      <c r="M4" t="s">
        <v>59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Timeseries</vt:lpstr>
      <vt:lpstr>SES</vt:lpstr>
      <vt:lpstr>Holt'sTrend-Corrected</vt:lpstr>
      <vt:lpstr>Holt's Autocorrelation</vt:lpstr>
      <vt:lpstr>How To Holt-Winter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Joe Chong</cp:lastModifiedBy>
  <dcterms:created xsi:type="dcterms:W3CDTF">2013-04-01T16:41:05Z</dcterms:created>
  <dcterms:modified xsi:type="dcterms:W3CDTF">2014-04-15T15:50:45Z</dcterms:modified>
</cp:coreProperties>
</file>